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O:\CCAODATA\tmp\2026 Desk Review Workbooks Missing Sales\res_v2\"/>
    </mc:Choice>
  </mc:AlternateContent>
  <xr:revisionPtr revIDLastSave="0" documentId="13_ncr:1_{983178FC-DBB3-4FD4-8381-7D8723E6B02F}" xr6:coauthVersionLast="47" xr6:coauthVersionMax="47" xr10:uidLastSave="{00000000-0000-0000-0000-000000000000}"/>
  <bookViews>
    <workbookView xWindow="-110" yWindow="-110" windowWidth="19420" windowHeight="12220" xr2:uid="{00000000-000D-0000-FFFF-FFFF00000000}"/>
  </bookViews>
  <sheets>
    <sheet name="PIN Detail" sheetId="2" r:id="rId1"/>
    <sheet name="Card Detail" sheetId="4" r:id="rId2"/>
    <sheet name="Neighborhood Breakout" sheetId="9" r:id="rId3"/>
  </sheets>
  <definedNames>
    <definedName name="pin_detail_range">'PIN Detail'!$A$6:$BL$7</definedName>
  </definedNames>
  <calcPr calcId="191028"/>
  <pivotCaches>
    <pivotCache cacheId="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Damon Major</author>
    <author>Jean Cochrane (Assessor)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H6" authorId="1" shapeId="0" xr:uid="{1766D256-2861-4BBA-8780-2C986F60238F}">
      <text>
        <r>
          <rPr>
            <sz val="9"/>
            <color indexed="81"/>
            <rFont val="Tahoma"/>
            <charset val="1"/>
          </rPr>
          <t xml:space="preserve">This column indicates whether this sale has been automatically flagged as a non-arm's-length sale by our sales validation algorithm.
If the sale has been flagged, this column will contain the reason for the flag; otherwise, this column will be empty.
</t>
        </r>
      </text>
    </comment>
    <comment ref="AT6" authorId="2"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2"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links to the HomeVal website showing the sales that the model thinks are most comparable to the target parcel. Click the link to navigate to the website and see the sales.</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1"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23361704-B7DC-4593-A117-F2816AD735D7}">
      <text>
        <r>
          <rPr>
            <sz val="9"/>
            <color indexed="81"/>
            <rFont val="Tahoma"/>
            <family val="2"/>
          </rPr>
          <t>Flag indicating that the PIN's value has not changed since last year, which should be unlikely.</t>
        </r>
      </text>
    </comment>
    <comment ref="BF6" authorId="0" shapeId="0" xr:uid="{AE640F8D-C8FE-48E7-A609-B0C718186353}">
      <text>
        <r>
          <rPr>
            <sz val="9"/>
            <color indexed="81"/>
            <rFont val="Tahoma"/>
            <family val="2"/>
          </rPr>
          <t>Flag indicating that an adjustment was made to this PIN's value after modeling.</t>
        </r>
      </text>
    </comment>
    <comment ref="BG6" authorId="0" shapeId="0" xr:uid="{83117FFA-9BB4-4818-B2C6-422A3A943BE2}">
      <text>
        <r>
          <rPr>
            <sz val="9"/>
            <color indexed="81"/>
            <rFont val="Tahoma"/>
            <family val="2"/>
          </rPr>
          <t>Flag indicating that the estimated value for the PIN is dramatically higher than last year's value.</t>
        </r>
      </text>
    </comment>
    <comment ref="BH6" authorId="0" shapeId="0" xr:uid="{66E115B5-8547-42A9-A19E-183D9317F2A3}">
      <text>
        <r>
          <rPr>
            <sz val="9"/>
            <color indexed="81"/>
            <rFont val="Tahoma"/>
            <family val="2"/>
          </rPr>
          <t>Flag indicating that the estimated value of the PIN is dramatically lower than last year's value.</t>
        </r>
      </text>
    </comment>
    <comment ref="BI6" authorId="0" shapeId="0" xr:uid="{C26E7A69-3354-428E-BBFF-70904DE96781}">
      <text>
        <r>
          <rPr>
            <sz val="9"/>
            <color indexed="81"/>
            <rFont val="Tahoma"/>
            <family val="2"/>
          </rPr>
          <t>Flag indicating that one or more of the characteristics that are most important to the model are missing for this PIN.</t>
        </r>
      </text>
    </comment>
    <comment ref="BJ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<sst xmlns="http://schemas.openxmlformats.org/spreadsheetml/2006/main" count="104" uniqueCount="87">
  <si>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</si>
  <si>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</si>
  <si>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</si>
  <si>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</si>
  <si>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</si>
  <si>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</si>
  <si>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</si>
  <si>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</si>
  <si>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</si>
  <si>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</si>
  <si>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</si>
  <si>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</si>
  <si>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</si>
  <si>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</si>
  <si>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</si>
  <si>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</si>
  <si>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</si>
  <si>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</si>
  <si>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</si>
  <si>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</si>
  <si>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</si>
  <si>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</si>
  <si>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</si>
  <si>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</si>
  <si>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</si>
  <si>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</si>
  <si>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</si>
  <si>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</si>
  <si>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</si>
  <si>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</si>
  <si>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</si>
  <si>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</si>
  <si>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</si>
  <si>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</si>
  <si>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</si>
  <si>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</si>
  <si>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</si>
  <si>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</si>
  <si>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</si>
  <si>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</si>
  <si>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</si>
  <si>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</si>
  <si>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</si>
  <si>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</si>
  <si>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</si>
  <si>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</si>
  <si>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</si>
  <si>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</si>
  <si>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</si>
  <si>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</si>
  <si>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</si>
  <si>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</si>
  <si>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</si>
  <si>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</si>
  <si>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</si>
  <si>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</si>
  <si>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</si>
  <si>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</si>
  <si>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</si>
  <si>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</si>
  <si>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</si>
  <si>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</si>
  <si>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</si>
  <si>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</si>
  <si>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</si>
  <si>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</si>
  <si>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</si>
  <si>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</si>
  <si>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</si>
  <si>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</si>
  <si>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</si>
  <si>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Average of YoY ∆ %</t>
  </si>
  <si>
    <t>Sale Ratio</t>
  </si>
  <si>
    <t>Bsmt. Type</t>
  </si>
  <si>
    <t>Bsmt. Finish</t>
  </si>
  <si>
    <t>Central Air</t>
  </si>
  <si>
    <t>Recent Assessable Permit</t>
  </si>
  <si>
    <t>Proration Rates Don't Sum to 100%</t>
  </si>
  <si>
    <t>Proration Tieback Cycle</t>
  </si>
  <si>
    <t>HomeVal Report</t>
  </si>
  <si>
    <t>MV Difference</t>
  </si>
  <si>
    <t>Total MV</t>
  </si>
  <si>
    <t>Link</t>
  </si>
  <si>
    <t>Max of MV Difference</t>
  </si>
  <si>
    <t>Max of Total MV</t>
  </si>
  <si>
    <t>Average of Total MV</t>
  </si>
  <si>
    <t>Min of Total 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</si>
</sst>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7">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164" fontId="2" fillId="0" borderId="0" xfId="2" applyNumberFormat="1" applyFont="1" applyAlignment="1">
      <alignment horizontal="right"/>
    </xf>
    <xf numFmtId="164" fontId="0" fillId="0" borderId="0" xfId="0" applyNumberFormat="1" applyAlignment="1">
      <alignment horizontal="right"/>
    </xf>
    <xf numFmtId="164" fontId="0" fillId="0" borderId="0" xfId="2" applyNumberFormat="1" applyFont="1" applyAlignment="1">
      <alignment horizontal="right"/>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116">
    <dxf>
      <numFmt numFmtId="166" formatCode="&quot;$&quot;#,##0.0"/>
    </dxf>
    <dxf>
      <numFmt numFmtId="164" formatCode="&quot;$&quot;#,##0"/>
    </dxf>
    <dxf>
      <numFmt numFmtId="166" formatCode="&quot;$&quot;#,##0.0"/>
    </dxf>
    <dxf>
      <numFmt numFmtId="164" formatCode="&quot;$&quot;#,##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6" formatCode="&quot;$&quot;#,##0.0"/>
    </dxf>
    <dxf>
      <numFmt numFmtId="166" formatCode="&quot;$&quot;#,##0.0"/>
    </dxf>
    <dxf>
      <numFmt numFmtId="168" formatCode="&quot;$&quot;#,##0.00"/>
    </dxf>
    <dxf>
      <numFmt numFmtId="168" formatCode="&quot;$&quot;#,##0.0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8" formatCode="&quot;$&quot;#,##0.00"/>
    </dxf>
    <dxf>
      <numFmt numFmtId="168" formatCode="&quot;$&quot;#,##0.00"/>
    </dxf>
    <dxf>
      <numFmt numFmtId="169" formatCode="&quot;$&quot;#,##0.000"/>
    </dxf>
    <dxf>
      <numFmt numFmtId="169" formatCode="&quot;$&quot;#,##0.00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9" formatCode="&quot;$&quot;#,##0.000"/>
    </dxf>
    <dxf>
      <numFmt numFmtId="169" formatCode="&quot;$&quot;#,##0.000"/>
    </dxf>
    <dxf>
      <numFmt numFmtId="170" formatCode="&quot;$&quot;#,##0.0000"/>
    </dxf>
    <dxf>
      <numFmt numFmtId="170" formatCode="&quot;$&quot;#,##0.000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70" formatCode="&quot;$&quot;#,##0.0000"/>
    </dxf>
    <dxf>
      <numFmt numFmtId="170" formatCode="&quot;$&quot;#,##0.0000"/>
    </dxf>
    <dxf>
      <numFmt numFmtId="169" formatCode="&quot;$&quot;#,##0.000"/>
    </dxf>
    <dxf>
      <numFmt numFmtId="169" formatCode="&quot;$&quot;#,##0.00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9" formatCode="&quot;$&quot;#,##0.000"/>
    </dxf>
    <dxf>
      <numFmt numFmtId="169" formatCode="&quot;$&quot;#,##0.000"/>
    </dxf>
    <dxf>
      <numFmt numFmtId="168" formatCode="&quot;$&quot;#,##0.00"/>
    </dxf>
    <dxf>
      <numFmt numFmtId="168" formatCode="&quot;$&quot;#,##0.0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8" formatCode="&quot;$&quot;#,##0.00"/>
    </dxf>
    <dxf>
      <numFmt numFmtId="168" formatCode="&quot;$&quot;#,##0.0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7" formatCode="_([$$-409]* #,##0.00_);_([$$-409]* \(#,##0.00\);_([$$-409]* &quot;-&quot;??_);_(@_)"/>
    </dxf>
    <dxf>
      <numFmt numFmtId="167" formatCode="_([$$-409]* #,##0.00_);_([$$-409]* \(#,##0.00\);_([$$-409]* &quot;-&quot;??_);_(@_)"/>
    </dxf>
    <dxf>
      <alignment horizontal="right"/>
    </dxf>
    <dxf>
      <alignment horizontal="right"/>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numFmt numFmtId="164" formatCode="&quot;$&quot;#,##0"/>
    </dxf>
    <dxf>
      <alignment horizontal="right"/>
    </dxf>
    <dxf>
      <alignment horizontal="right"/>
    </dxf>
    <dxf>
      <numFmt numFmtId="167" formatCode="_([$$-409]* #,##0.00_);_([$$-409]* \(#,##0.00\);_([$$-409]* &quot;-&quot;??_);_(@_)"/>
    </dxf>
    <dxf>
      <numFmt numFmtId="167" formatCode="_([$$-409]* #,##0.00_);_([$$-409]* \(#,##0.00\);_([$$-409]* &quot;-&quot;??_);_(@_)"/>
    </dxf>
  </dxfs>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mon Major" refreshedDate="46225.817303935182" createdVersion="8" refreshedVersion="8" minRefreshableVersion="3" recordCount="1" xr:uid="{2A499168-87FA-4E81-AAAC-57B5294536D8}">
  <cacheSource type="worksheet">
    <worksheetSource name="pin_detail_Range"/>
  </cacheSource>
  <cacheFields count="64">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MV" numFmtId="0">
      <sharedItems containsNonDate="0" containsString="0" containsBlank="1"/>
    </cacheField>
    <cacheField name="M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5" firstHeaderRow="0" firstDataRow="1" firstDataCol="1"/>
  <pivotFields count="64">
    <pivotField showAll="0"/>
    <pivotField axis="axisRow" dataField="1" showAll="0" sortType="ascending">
      <items count="2">
        <item x="0"/>
        <item t="default"/>
      </items>
    </pivotField>
    <pivotField axis="axisRow" showAll="0" sortType="ascending">
      <items count="2">
        <item sd="0"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s>
  <rowFields count="2">
    <field x="2"/>
    <field x="1"/>
  </rowFields>
  <rowItems count="2">
    <i>
      <x/>
    </i>
    <i t="grand">
      <x/>
    </i>
  </rowItems>
  <colFields count="1">
    <field x="-2"/>
  </colFields>
  <colItems count="6">
    <i>
      <x/>
    </i>
    <i i="1">
      <x v="1"/>
    </i>
    <i i="2">
      <x v="2"/>
    </i>
    <i i="3">
      <x v="3"/>
    </i>
    <i i="4">
      <x v="4"/>
    </i>
    <i i="5">
      <x v="5"/>
    </i>
  </colItems>
  <dataFields count="6">
    <dataField name="Count of Class" fld="1" subtotal="count" baseField="2" baseItem="0" numFmtId="1"/>
    <dataField name="Min of Total MV" fld="62" subtotal="min" baseField="2" baseItem="0" numFmtId="164"/>
    <dataField name="Average of Total MV" fld="62" subtotal="average" baseField="2" baseItem="0" numFmtId="164"/>
    <dataField name="Max of Total MV" fld="62" subtotal="max" baseField="2" baseItem="0" numFmtId="164"/>
    <dataField name="Max of MV Difference" fld="63" subtotal="max" baseField="2" baseItem="0" numFmtId="164"/>
    <dataField name="Average of YoY ∆ %" fld="24" subtotal="average" baseField="2" baseItem="0" numFmtId="165"/>
  </dataFields>
  <formats count="12">
    <format dxfId="115">
      <pivotArea outline="0" collapsedLevelsAreSubtotals="1" fieldPosition="0">
        <references count="1">
          <reference field="4294967294" count="1" selected="0">
            <x v="4"/>
          </reference>
        </references>
      </pivotArea>
    </format>
    <format dxfId="114">
      <pivotArea dataOnly="0" labelOnly="1" outline="0" fieldPosition="0">
        <references count="1">
          <reference field="4294967294" count="1">
            <x v="4"/>
          </reference>
        </references>
      </pivotArea>
    </format>
    <format dxfId="113">
      <pivotArea outline="0" collapsedLevelsAreSubtotals="1" fieldPosition="0">
        <references count="1">
          <reference field="4294967294" count="1" selected="0">
            <x v="4"/>
          </reference>
        </references>
      </pivotArea>
    </format>
    <format dxfId="112">
      <pivotArea dataOnly="0" labelOnly="1" outline="0" fieldPosition="0">
        <references count="1">
          <reference field="4294967294" count="1">
            <x v="4"/>
          </reference>
        </references>
      </pivotArea>
    </format>
    <format dxfId="111">
      <pivotArea outline="0" collapsedLevelsAreSubtotals="1" fieldPosition="0">
        <references count="1">
          <reference field="4294967294" count="1" selected="0">
            <x v="1"/>
          </reference>
        </references>
      </pivotArea>
    </format>
    <format dxfId="110">
      <pivotArea dataOnly="0" labelOnly="1" outline="0" fieldPosition="0">
        <references count="1">
          <reference field="4294967294" count="1">
            <x v="1"/>
          </reference>
        </references>
      </pivotArea>
    </format>
    <format dxfId="109">
      <pivotArea outline="0" collapsedLevelsAreSubtotals="1" fieldPosition="0">
        <references count="1">
          <reference field="4294967294" count="1" selected="0">
            <x v="2"/>
          </reference>
        </references>
      </pivotArea>
    </format>
    <format dxfId="108">
      <pivotArea dataOnly="0" labelOnly="1" outline="0" fieldPosition="0">
        <references count="1">
          <reference field="4294967294" count="1">
            <x v="2"/>
          </reference>
        </references>
      </pivotArea>
    </format>
    <format dxfId="107">
      <pivotArea outline="0" collapsedLevelsAreSubtotals="1" fieldPosition="0">
        <references count="1">
          <reference field="4294967294" count="1" selected="0">
            <x v="4"/>
          </reference>
        </references>
      </pivotArea>
    </format>
    <format dxfId="106">
      <pivotArea dataOnly="0" labelOnly="1" outline="0" fieldPosition="0">
        <references count="1">
          <reference field="4294967294" count="1">
            <x v="4"/>
          </reference>
        </references>
      </pivotArea>
    </format>
    <format dxfId="3">
      <pivotArea outline="0" collapsedLevelsAreSubtotals="1" fieldPosition="0">
        <references count="1">
          <reference field="4294967294" count="1" selected="0">
            <x v="3"/>
          </reference>
        </references>
      </pivotArea>
    </format>
    <format dxfId="1">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L9"/>
  <sheetViews>
    <sheetView tabSelected="1" workbookViewId="0">
      <pane xSplit="1" ySplit="6" topLeftCell="B7" activePane="bottomRight" state="frozen"/>
      <selection pane="topRight" activeCell="B1" sqref="B1"/>
      <selection pane="bottomLeft" activeCell="A17" sqref="A17"/>
      <selection pane="bottomRight" activeCell="AO48" sqref="AO48"/>
    </sheetView>
  </sheetViews>
  <sheetFormatPr defaultColWidth="11" defaultRowHeight="15.5" x14ac:dyDescent="0.35"/>
  <cols>
    <col min="1" max="1" width="15.33203125" customWidth="1"/>
    <col min="2" max="2" width="14" customWidth="1"/>
    <col min="3" max="3" width="11.5" customWidth="1"/>
    <col min="4" max="4" width="38.83203125" customWidth="1"/>
    <col min="5" max="6" width="14.33203125" customWidth="1"/>
    <col min="7" max="7" width="8.83203125" customWidth="1"/>
    <col min="8" max="8" width="15.33203125" customWidth="1"/>
    <col min="9" max="9" width="13.83203125" style="11" customWidth="1"/>
    <col min="10" max="11" width="11.83203125" style="10" bestFit="1" customWidth="1"/>
    <col min="12" max="12" width="13" style="10" customWidth="1"/>
    <col min="13" max="13" width="10.83203125" style="10" customWidth="1"/>
    <col min="14" max="14" width="10.58203125" style="10" customWidth="1"/>
    <col min="15" max="15" width="9.08203125" style="11" customWidth="1"/>
    <col min="16" max="16" width="13.58203125" style="15" customWidth="1"/>
    <col min="17" max="18" width="11.58203125" style="10" customWidth="1"/>
    <col min="19" max="19" width="13.58203125" style="10" customWidth="1"/>
    <col min="20" max="20" width="11" style="10"/>
    <col min="21" max="21" width="10.83203125" style="10" customWidth="1"/>
    <col min="22" max="22" width="11.08203125" style="10" customWidth="1"/>
    <col min="23" max="23" width="11.58203125" style="11" customWidth="1"/>
    <col min="24" max="24" width="11" style="12"/>
    <col min="25" max="26" width="11" style="11"/>
    <col min="27" max="27" width="21.08203125" style="11" customWidth="1"/>
    <col min="28" max="28" width="13" customWidth="1"/>
    <col min="29" max="29" width="13" style="10" customWidth="1"/>
    <col min="30" max="30" width="18.58203125" style="10" customWidth="1"/>
    <col min="31" max="32" width="13" style="16" customWidth="1"/>
    <col min="33" max="33" width="13" style="10" customWidth="1"/>
    <col min="34" max="34" width="18.58203125" style="10" customWidth="1"/>
    <col min="35" max="35" width="13" style="16" customWidth="1"/>
    <col min="37" max="37" width="9.25" customWidth="1"/>
    <col min="38" max="38" width="7.33203125" customWidth="1"/>
    <col min="40" max="40" width="15.08203125" customWidth="1"/>
    <col min="41" max="41" width="15.58203125" customWidth="1"/>
    <col min="42" max="42" width="15.33203125" customWidth="1"/>
    <col min="44" max="44" width="8.08203125" customWidth="1"/>
    <col min="45" max="47" width="11" style="13"/>
    <col min="48" max="48" width="16" style="13" bestFit="1" customWidth="1"/>
    <col min="57" max="57" width="14" customWidth="1"/>
    <col min="58" max="58" width="12.33203125" customWidth="1"/>
    <col min="59" max="59" width="11.83203125" customWidth="1"/>
    <col min="60" max="60" width="10.83203125" customWidth="1"/>
    <col min="61" max="61" width="11.5" customWidth="1"/>
    <col min="62" max="62" width="10" bestFit="1" customWidth="1"/>
    <col min="63" max="63" width="7.75" hidden="1" customWidth="1"/>
    <col min="64" max="64" width="9.33203125" hidden="1" customWidth="1"/>
  </cols>
  <sheetData>
    <row r="1" spans="1:64" ht="21" x14ac:dyDescent="0.5">
      <c r="A1" s="5"/>
      <c r="B1" s="35"/>
      <c r="C1" s="35"/>
      <c r="D1" s="35"/>
      <c r="E1" s="35"/>
      <c r="F1" s="35"/>
      <c r="G1" s="35"/>
      <c r="H1" s="35"/>
      <c r="I1" s="35"/>
      <c r="J1" s="3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row>
    <row r="2" spans="1:64" x14ac:dyDescent="0.3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4" ht="15.75" customHeight="1" x14ac:dyDescent="0.35">
      <c r="B3" s="1" t="s">
        <v>0</v>
      </c>
      <c r="C3" s="34"/>
      <c r="D3" s="34"/>
      <c r="E3" s="34"/>
      <c r="F3" s="1"/>
      <c r="G3" s="1"/>
      <c r="H3" s="1"/>
      <c r="I3" s="1"/>
      <c r="J3" s="1"/>
      <c r="K3" s="1"/>
      <c r="L3" s="1"/>
      <c r="M3"/>
      <c r="N3"/>
      <c r="O3"/>
      <c r="P3"/>
      <c r="Q3"/>
      <c r="R3"/>
      <c r="S3"/>
      <c r="T3"/>
      <c r="U3"/>
      <c r="V3"/>
      <c r="W3"/>
      <c r="X3"/>
      <c r="Y3"/>
      <c r="Z3"/>
      <c r="AA3"/>
      <c r="AC3"/>
      <c r="AD3"/>
      <c r="AE3"/>
      <c r="AF3"/>
      <c r="AG3"/>
      <c r="AH3"/>
      <c r="AI3"/>
      <c r="AS3"/>
      <c r="AT3"/>
      <c r="AU3"/>
      <c r="AV3"/>
    </row>
    <row r="4" spans="1:64" x14ac:dyDescent="0.3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4" x14ac:dyDescent="0.35">
      <c r="B5" s="48" t="s">
        <v>59</v>
      </c>
      <c r="C5" s="49"/>
      <c r="D5" s="49"/>
      <c r="E5" s="49"/>
      <c r="F5" s="49"/>
      <c r="G5" s="49"/>
      <c r="H5" s="49"/>
      <c r="I5" s="50"/>
      <c r="J5" s="36"/>
      <c r="K5" s="37"/>
      <c r="L5" s="37"/>
      <c r="M5" s="37"/>
      <c r="N5" s="37"/>
      <c r="O5" s="38"/>
      <c r="P5" s="41"/>
      <c r="Q5" s="42"/>
      <c r="R5" s="42"/>
      <c r="S5" s="42"/>
      <c r="T5" s="42"/>
      <c r="U5" s="42"/>
      <c r="V5" s="42"/>
      <c r="W5" s="43"/>
      <c r="X5" s="53" t="s">
        <v>60</v>
      </c>
      <c r="Y5" s="54"/>
      <c r="Z5" s="55"/>
      <c r="AA5" s="23" t="s">
        <v>64</v>
      </c>
      <c r="AB5" s="44" t="s">
        <v>63</v>
      </c>
      <c r="AC5" s="45"/>
      <c r="AD5" s="45"/>
      <c r="AE5" s="46"/>
      <c r="AF5" s="45"/>
      <c r="AG5" s="45"/>
      <c r="AH5" s="46"/>
      <c r="AI5" s="47"/>
      <c r="AJ5" s="51" t="s">
        <v>1</v>
      </c>
      <c r="AK5" s="52"/>
      <c r="AL5" s="52"/>
      <c r="AM5" s="52"/>
      <c r="AN5" s="52"/>
      <c r="AO5" s="52"/>
      <c r="AP5" s="52"/>
      <c r="AQ5" s="52"/>
      <c r="AR5" s="52"/>
      <c r="AS5" s="52"/>
      <c r="AT5" s="52"/>
      <c r="AU5" s="52"/>
      <c r="AV5" s="30" t="s">
        <v>79</v>
      </c>
      <c r="AW5" s="39" t="s">
        <v>2</v>
      </c>
      <c r="AX5" s="40"/>
      <c r="AY5" s="40"/>
      <c r="AZ5" s="40"/>
      <c r="BA5" s="40"/>
      <c r="BB5" s="40"/>
      <c r="BC5" s="40"/>
      <c r="BD5" s="40"/>
      <c r="BE5" s="40"/>
      <c r="BF5" s="40"/>
      <c r="BG5" s="40"/>
      <c r="BH5" s="40"/>
      <c r="BI5" s="40"/>
      <c r="BJ5" s="29"/>
    </row>
    <row r="6" spans="1:64" ht="62" x14ac:dyDescent="0.3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7" t="s">
        <v>72</v>
      </c>
      <c r="AA6" s="3" t="s">
        <v>65</v>
      </c>
      <c r="AB6" s="2" t="s">
        <v>25</v>
      </c>
      <c r="AC6" s="8" t="s">
        <v>26</v>
      </c>
      <c r="AD6" s="3" t="s">
        <v>27</v>
      </c>
      <c r="AE6" s="14" t="s">
        <v>28</v>
      </c>
      <c r="AF6" s="3" t="s">
        <v>29</v>
      </c>
      <c r="AG6" s="8" t="s">
        <v>30</v>
      </c>
      <c r="AH6" s="8" t="s">
        <v>31</v>
      </c>
      <c r="AI6" s="3" t="s">
        <v>32</v>
      </c>
      <c r="AJ6" s="18" t="s">
        <v>33</v>
      </c>
      <c r="AK6" s="6" t="s">
        <v>55</v>
      </c>
      <c r="AL6" s="6" t="s">
        <v>56</v>
      </c>
      <c r="AM6" s="6" t="s">
        <v>73</v>
      </c>
      <c r="AN6" s="6" t="s">
        <v>74</v>
      </c>
      <c r="AO6" s="6" t="s">
        <v>75</v>
      </c>
      <c r="AP6" s="6" t="s">
        <v>57</v>
      </c>
      <c r="AQ6" s="6" t="s">
        <v>34</v>
      </c>
      <c r="AR6" s="6" t="s">
        <v>35</v>
      </c>
      <c r="AS6" s="6" t="s">
        <v>36</v>
      </c>
      <c r="AT6" s="9" t="s">
        <v>37</v>
      </c>
      <c r="AU6" s="9" t="s">
        <v>38</v>
      </c>
      <c r="AV6" s="22" t="s">
        <v>82</v>
      </c>
      <c r="AW6" s="9" t="s">
        <v>39</v>
      </c>
      <c r="AX6" s="9" t="s">
        <v>77</v>
      </c>
      <c r="AY6" s="9" t="s">
        <v>78</v>
      </c>
      <c r="AZ6" s="9" t="s">
        <v>40</v>
      </c>
      <c r="BA6" s="9" t="s">
        <v>41</v>
      </c>
      <c r="BB6" s="9" t="s">
        <v>42</v>
      </c>
      <c r="BC6" s="9" t="s">
        <v>43</v>
      </c>
      <c r="BD6" s="9" t="s">
        <v>44</v>
      </c>
      <c r="BE6" s="9" t="s">
        <v>45</v>
      </c>
      <c r="BF6" s="9" t="s">
        <v>46</v>
      </c>
      <c r="BG6" s="9" t="s">
        <v>47</v>
      </c>
      <c r="BH6" s="9" t="s">
        <v>48</v>
      </c>
      <c r="BI6" s="8" t="s">
        <v>49</v>
      </c>
      <c r="BJ6" s="27" t="s">
        <v>76</v>
      </c>
      <c r="BK6" s="3" t="s">
        <v>81</v>
      </c>
      <c r="BL6" s="4" t="s">
        <v>80</v>
      </c>
    </row>
    <row r="8" spans="1:64" x14ac:dyDescent="0.35">
      <c r="AV8" s="17"/>
    </row>
    <row r="9" spans="1:64" x14ac:dyDescent="0.35">
      <c r="AV9" s="17"/>
    </row>
  </sheetData>
  <mergeCells count="9">
    <mergeCell ref="C3:E3"/>
    <mergeCell ref="B1:J1"/>
    <mergeCell ref="J5:O5"/>
    <mergeCell ref="AW5:BI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4"/>
  <sheetViews>
    <sheetView workbookViewId="0">
      <pane xSplit="1" ySplit="4" topLeftCell="B5" activePane="bottomRight" state="frozen"/>
      <selection pane="topRight" activeCell="B1" sqref="B1"/>
      <selection pane="bottomLeft" activeCell="A17" sqref="A17"/>
      <selection pane="bottomRight"/>
    </sheetView>
  </sheetViews>
  <sheetFormatPr defaultColWidth="11" defaultRowHeight="15.5" x14ac:dyDescent="0.35"/>
  <cols>
    <col min="1" max="1" width="15.33203125" customWidth="1"/>
    <col min="2" max="2" width="7.5" customWidth="1"/>
    <col min="3" max="3" width="9.83203125" customWidth="1"/>
    <col min="4" max="4" width="10.5" customWidth="1"/>
    <col min="5" max="5" width="11.83203125" style="15" customWidth="1"/>
    <col min="6" max="7" width="14.58203125" style="10" customWidth="1"/>
    <col min="9" max="9" width="9.25" customWidth="1"/>
    <col min="10" max="10" width="15.5" customWidth="1"/>
    <col min="11" max="11" width="13.75" customWidth="1"/>
    <col min="12" max="12" width="15.58203125" customWidth="1"/>
    <col min="13" max="13" width="14.08203125" customWidth="1"/>
    <col min="14" max="14" width="15.75" customWidth="1"/>
    <col min="16" max="16" width="11" customWidth="1"/>
    <col min="17" max="17" width="11" style="13"/>
  </cols>
  <sheetData>
    <row r="1" spans="1:26" ht="21" x14ac:dyDescent="0.5">
      <c r="B1" s="35" t="s">
        <v>50</v>
      </c>
      <c r="C1" s="35"/>
      <c r="D1" s="35"/>
      <c r="E1" s="35"/>
      <c r="F1" s="35"/>
      <c r="G1" s="35"/>
      <c r="H1" s="35"/>
      <c r="I1" s="35"/>
      <c r="J1" s="35"/>
      <c r="K1" s="28"/>
      <c r="L1" s="28"/>
      <c r="M1" s="28"/>
      <c r="N1" s="5"/>
      <c r="O1" s="5"/>
      <c r="P1" s="5"/>
      <c r="Q1" s="5"/>
      <c r="R1" s="5"/>
      <c r="S1" s="5"/>
      <c r="T1" s="5"/>
      <c r="U1" s="5"/>
      <c r="V1" s="5"/>
      <c r="W1" s="5"/>
      <c r="X1" s="5"/>
      <c r="Y1" s="5"/>
      <c r="Z1" s="5"/>
    </row>
    <row r="2" spans="1:26" x14ac:dyDescent="0.35">
      <c r="A2" s="1"/>
      <c r="B2" s="1"/>
      <c r="C2" s="1"/>
      <c r="D2" s="1"/>
      <c r="E2"/>
      <c r="F2"/>
      <c r="G2"/>
      <c r="Q2"/>
    </row>
    <row r="3" spans="1:26" x14ac:dyDescent="0.35">
      <c r="B3" s="48" t="s">
        <v>61</v>
      </c>
      <c r="C3" s="49"/>
      <c r="D3" s="50"/>
      <c r="E3" s="41"/>
      <c r="F3" s="42"/>
      <c r="G3" s="43"/>
      <c r="H3" s="51" t="s">
        <v>62</v>
      </c>
      <c r="I3" s="52"/>
      <c r="J3" s="52"/>
      <c r="K3" s="52"/>
      <c r="L3" s="52"/>
      <c r="M3" s="52"/>
      <c r="N3" s="52"/>
      <c r="O3" s="52"/>
      <c r="P3" s="52"/>
      <c r="Q3" s="52"/>
      <c r="R3" s="52"/>
      <c r="S3" s="56"/>
    </row>
    <row r="4" spans="1:26" ht="31" x14ac:dyDescent="0.35">
      <c r="A4" s="8" t="s">
        <v>3</v>
      </c>
      <c r="B4" s="8" t="s">
        <v>51</v>
      </c>
      <c r="C4" s="8" t="s">
        <v>4</v>
      </c>
      <c r="D4" s="3" t="s">
        <v>5</v>
      </c>
      <c r="E4" s="6" t="s">
        <v>52</v>
      </c>
      <c r="F4" s="9" t="s">
        <v>53</v>
      </c>
      <c r="G4" s="9" t="s">
        <v>54</v>
      </c>
      <c r="H4" s="18" t="s">
        <v>33</v>
      </c>
      <c r="I4" s="6" t="s">
        <v>55</v>
      </c>
      <c r="J4" s="6" t="s">
        <v>56</v>
      </c>
      <c r="K4" s="6" t="s">
        <v>73</v>
      </c>
      <c r="L4" s="6" t="s">
        <v>74</v>
      </c>
      <c r="M4" s="6" t="s">
        <v>75</v>
      </c>
      <c r="N4" s="6" t="s">
        <v>57</v>
      </c>
      <c r="O4" s="6" t="s">
        <v>58</v>
      </c>
      <c r="P4" s="6" t="s">
        <v>35</v>
      </c>
      <c r="Q4" s="9" t="s">
        <v>36</v>
      </c>
      <c r="R4" s="9" t="s">
        <v>37</v>
      </c>
      <c r="S4" s="20" t="s">
        <v>38</v>
      </c>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G5"/>
  <sheetViews>
    <sheetView workbookViewId="0">
      <selection activeCell="E4" sqref="E4"/>
    </sheetView>
  </sheetViews>
  <sheetFormatPr defaultRowHeight="15.5" x14ac:dyDescent="0.35"/>
  <cols>
    <col min="1" max="1" width="12.25" bestFit="1" customWidth="1"/>
    <col min="2" max="2" width="12.58203125" bestFit="1" customWidth="1"/>
    <col min="3" max="3" width="14.33203125" style="33" bestFit="1" customWidth="1"/>
    <col min="4" max="4" width="17.9140625" style="33" bestFit="1" customWidth="1"/>
    <col min="5" max="5" width="14.6640625" style="33" bestFit="1" customWidth="1"/>
    <col min="6" max="6" width="19.25" style="33" bestFit="1" customWidth="1"/>
    <col min="7" max="7" width="16.9140625" bestFit="1" customWidth="1"/>
    <col min="8" max="8" width="16.58203125" bestFit="1" customWidth="1"/>
  </cols>
  <sheetData>
    <row r="1" spans="1:7" ht="21" x14ac:dyDescent="0.5">
      <c r="B1" s="5" t="s">
        <v>69</v>
      </c>
      <c r="C1" s="31"/>
      <c r="D1" s="31"/>
      <c r="E1" s="31"/>
      <c r="F1" s="31"/>
    </row>
    <row r="3" spans="1:7" x14ac:dyDescent="0.35">
      <c r="A3" s="24" t="s">
        <v>66</v>
      </c>
      <c r="B3" t="s">
        <v>70</v>
      </c>
      <c r="C3" s="12" t="s">
        <v>86</v>
      </c>
      <c r="D3" s="12" t="s">
        <v>85</v>
      </c>
      <c r="E3" s="12" t="s">
        <v>84</v>
      </c>
      <c r="F3" s="32" t="s">
        <v>83</v>
      </c>
      <c r="G3" t="s">
        <v>71</v>
      </c>
    </row>
    <row r="4" spans="1:7" x14ac:dyDescent="0.35">
      <c r="A4" s="21" t="s">
        <v>67</v>
      </c>
      <c r="B4" s="26"/>
      <c r="C4" s="12"/>
      <c r="D4" s="12"/>
      <c r="E4" s="12"/>
      <c r="F4" s="32"/>
      <c r="G4" s="25"/>
    </row>
    <row r="5" spans="1:7" x14ac:dyDescent="0.35">
      <c r="A5" s="21" t="s">
        <v>68</v>
      </c>
      <c r="B5" s="26"/>
      <c r="C5" s="12"/>
      <c r="D5" s="12"/>
      <c r="E5" s="12"/>
      <c r="F5" s="32"/>
      <c r="G5"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Damon Major (Assessor)</cp:lastModifiedBy>
  <cp:revision/>
  <dcterms:created xsi:type="dcterms:W3CDTF">2020-12-11T20:46:47Z</dcterms:created>
  <dcterms:modified xsi:type="dcterms:W3CDTF">2026-07-23T00:37:33Z</dcterms:modified>
  <cp:category/>
  <cp:contentStatus/>
</cp:coreProperties>
</file>