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O:\CCAODATA\tmp\2026 Desk Review Workbooks Missing Sales\res_v2\"/>
    </mc:Choice>
  </mc:AlternateContent>
  <xr:revisionPtr revIDLastSave="0" documentId="13_ncr:1_{D870BD8A-0ADB-47B1-B291-14AD08489EAC}" xr6:coauthVersionLast="47" xr6:coauthVersionMax="47" xr10:uidLastSave="{00000000-0000-0000-0000-000000000000}"/>
  <bookViews>
    <workbookView xWindow="-120" yWindow="-120" windowWidth="38640" windowHeight="21840" xr2:uid="{00000000-000D-0000-FFFF-FFFF00000000}"/>
  </bookViews>
  <sheets>
    <sheet name="PIN Detail" sheetId="2" r:id="rId1"/>
    <sheet name="Card Detail" sheetId="4" r:id="rId2"/>
    <sheet name="Neighborhood Breakout" sheetId="9" r:id="rId3"/>
  </sheets>
  <definedNames>
    <definedName name="pin_detail_range">'PIN Detail'!$A$6:$BL$7</definedName>
  </definedNames>
  <calcPr calcId="191028"/>
  <pivotCaches>
    <pivotCache cacheId="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Jean Cochrane</author>
    <author>Damon Major</author>
    <author>Jean Cochrane (Assessor)</author>
  </authors>
  <commentList>
    <comment ref="Z6" authorId="0" shapeId="0" xr:uid="{B959BBC6-269B-40A9-8222-4E035C25B553}">
      <text>
        <r>
          <rPr>
            <sz val="9"/>
            <color indexed="81"/>
            <rFont val="Tahoma"/>
            <charset val="1"/>
          </rPr>
          <t>The estimated value for the parcel (Total) divided by the amount of its most recent sale, if one exists (Sale Amount 1). Empty if no recent sales exist. If a recent sale exists but is flagged as a non-arm's-length sale, this ratio will likely not be accurate.</t>
        </r>
      </text>
    </comment>
    <comment ref="AD6" authorId="0" shapeId="0" xr:uid="{E1258316-8105-4C22-B533-C12DB8E47009}">
      <text>
        <r>
          <rPr>
            <sz val="9"/>
            <color indexed="81"/>
            <rFont val="Tahoma"/>
            <family val="2"/>
          </rPr>
          <t>This column indicates whether this sale has been automatically flagged as a non-arm's-length sale by our sales validation algorithm.
If the sale has been flagged, this column will contain the reason for the flag; otherwise, this column will be empty.</t>
        </r>
      </text>
    </comment>
    <comment ref="AH6" authorId="1" shapeId="0" xr:uid="{1766D256-2861-4BBA-8780-2C986F60238F}">
      <text>
        <r>
          <rPr>
            <sz val="9"/>
            <color indexed="81"/>
            <rFont val="Tahoma"/>
            <charset val="1"/>
          </rPr>
          <t xml:space="preserve">This column indicates whether this sale has been automatically flagged as a non-arm's-length sale by our sales validation algorithm.
If the sale has been flagged, this column will contain the reason for the flag; otherwise, this column will be empty.
</t>
        </r>
      </text>
    </comment>
    <comment ref="AT6" authorId="2" shapeId="0" xr:uid="{E801C296-DBF0-4A45-8600-56AFE18D9932}">
      <text>
        <r>
          <rPr>
            <sz val="9"/>
            <color theme="1"/>
            <rFont val="Tahoma"/>
            <family val="2"/>
          </rPr>
          <t>The number of apartments in a property. Only present for class 211 and class 212 properties. For multicard properties, this column will show a list of numbers of units, one for each card.</t>
        </r>
      </text>
    </comment>
    <comment ref="AU6" authorId="2" shapeId="0" xr:uid="{8499B5E6-DE08-4F49-BEC1-0664F772026C}">
      <text>
        <r>
          <rPr>
            <sz val="9"/>
            <color theme="1"/>
            <rFont val="Tahoma"/>
            <family val="2"/>
          </rPr>
          <t>The number of commercial units in a property. Only present for class 212 properties. For multicard properties, this column will show a list of numbers of units, one for each card.</t>
        </r>
      </text>
    </comment>
    <comment ref="AV6" authorId="0" shapeId="0" xr:uid="{BAC2DDCF-BD81-4E1D-BEBD-2108C20D7DEA}">
      <text>
        <r>
          <rPr>
            <sz val="9"/>
            <color indexed="81"/>
            <rFont val="Tahoma"/>
            <family val="2"/>
          </rPr>
          <t>This column links to the HomeVal website showing the sales that the model thinks are most comparable to the target parcel. Click the link to navigate to the website and see the sales.</t>
        </r>
      </text>
    </comment>
    <comment ref="AW6" authorId="0" shapeId="0" xr:uid="{ECF27779-F8CB-4DDB-B47A-434BDB41AF51}">
      <text>
        <r>
          <rPr>
            <sz val="9"/>
            <color indexed="81"/>
            <rFont val="Tahoma"/>
            <family val="2"/>
          </rPr>
          <t>Indicates that the PIN is prorated.</t>
        </r>
      </text>
    </comment>
    <comment ref="AX6" authorId="0" shapeId="0" xr:uid="{BC63D4E8-13FE-4190-B049-8F73F08FC6D9}">
      <text>
        <r>
          <rPr>
            <sz val="9"/>
            <color indexed="81"/>
            <rFont val="Tahoma"/>
            <family val="2"/>
          </rPr>
          <t>Indicates that the rates in the PIN's proration group do not sum to 1.</t>
        </r>
      </text>
    </comment>
    <comment ref="AY6" authorId="1" shapeId="0" xr:uid="{0D45338F-140B-44D7-B8C4-BE9610B66C03}">
      <text>
        <r>
          <rPr>
            <sz val="9"/>
            <color indexed="81"/>
            <rFont val="Tahoma"/>
            <family val="2"/>
          </rPr>
          <t>Indicates that other PINs in the proration group may not share the same tieback</t>
        </r>
        <r>
          <rPr>
            <sz val="9"/>
            <color indexed="81"/>
            <rFont val="Tahoma"/>
            <charset val="1"/>
          </rPr>
          <t xml:space="preserve">
</t>
        </r>
      </text>
    </comment>
    <comment ref="AZ6" authorId="0" shapeId="0" xr:uid="{9201257A-E739-4445-9BA2-278E0B79DD9F}">
      <text>
        <r>
          <rPr>
            <sz val="9"/>
            <color indexed="81"/>
            <rFont val="Tahoma"/>
            <family val="2"/>
          </rPr>
          <t>Indicates that the PIN contains multiple cards.</t>
        </r>
      </text>
    </comment>
    <comment ref="BA6" authorId="0" shapeId="0" xr:uid="{617DE059-1ED7-4DF2-ADE1-DA1638E1B1B3}">
      <text>
        <r>
          <rPr>
            <sz val="9"/>
            <color indexed="81"/>
            <rFont val="Tahoma"/>
            <family val="2"/>
          </rPr>
          <t>Indicates that the PIN spans multiple land lines.</t>
        </r>
      </text>
    </comment>
    <comment ref="BB6" authorId="0" shapeId="0" xr:uid="{8D952257-05F3-458B-BB51-489A57E1F158}">
      <text>
        <r>
          <rPr>
            <sz val="9"/>
            <color indexed="81"/>
            <rFont val="Tahoma"/>
            <family val="2"/>
          </rPr>
          <t xml:space="preserve">Indicates that the PIN's land square footage is in the 95th percentile of land S. F. for its town (that is to say, it's very high).
</t>
        </r>
      </text>
    </comment>
    <comment ref="BC6" authorId="0" shapeId="0" xr:uid="{C3739962-30FA-49E2-B79F-736E5AEB387B}">
      <text>
        <r>
          <rPr>
            <sz val="9"/>
            <color indexed="81"/>
            <rFont val="Tahoma"/>
            <family val="2"/>
          </rPr>
          <t>Indicates that the PIN's building square footage is in the 95th percentile of building S. F. for its town (that is to say, it's very high).</t>
        </r>
      </text>
    </comment>
    <comment ref="BD6" authorId="0" shapeId="0" xr:uid="{E8F31B7F-B8C2-4805-B053-4600780FD7A2}">
      <text>
        <r>
          <rPr>
            <sz val="9"/>
            <color indexed="81"/>
            <rFont val="Tahoma"/>
            <family val="2"/>
          </rPr>
          <t>Indicates that the land value for this</t>
        </r>
        <r>
          <rPr>
            <b/>
            <sz val="9"/>
            <color indexed="81"/>
            <rFont val="Tahoma"/>
            <family val="2"/>
          </rPr>
          <t xml:space="preserve"> </t>
        </r>
        <r>
          <rPr>
            <sz val="9"/>
            <color indexed="81"/>
            <rFont val="Tahoma"/>
            <family val="2"/>
          </rPr>
          <t>PIN was artificially capped below its $/sqft rate in order to remain less than 50% of the total FMV.</t>
        </r>
      </text>
    </comment>
    <comment ref="BE6" authorId="0" shapeId="0" xr:uid="{23361704-B7DC-4593-A117-F2816AD735D7}">
      <text>
        <r>
          <rPr>
            <sz val="9"/>
            <color indexed="81"/>
            <rFont val="Tahoma"/>
            <family val="2"/>
          </rPr>
          <t>Flag indicating that the PIN's value has not changed since last year, which should be unlikely.</t>
        </r>
      </text>
    </comment>
    <comment ref="BF6" authorId="0" shapeId="0" xr:uid="{AE640F8D-C8FE-48E7-A609-B0C718186353}">
      <text>
        <r>
          <rPr>
            <sz val="9"/>
            <color indexed="81"/>
            <rFont val="Tahoma"/>
            <family val="2"/>
          </rPr>
          <t>Flag indicating that an adjustment was made to this PIN's value after modeling.</t>
        </r>
      </text>
    </comment>
    <comment ref="BG6" authorId="0" shapeId="0" xr:uid="{83117FFA-9BB4-4818-B2C6-422A3A943BE2}">
      <text>
        <r>
          <rPr>
            <sz val="9"/>
            <color indexed="81"/>
            <rFont val="Tahoma"/>
            <family val="2"/>
          </rPr>
          <t>Flag indicating that the estimated value for the PIN is dramatically higher than last year's value.</t>
        </r>
      </text>
    </comment>
    <comment ref="BH6" authorId="0" shapeId="0" xr:uid="{66E115B5-8547-42A9-A19E-183D9317F2A3}">
      <text>
        <r>
          <rPr>
            <sz val="9"/>
            <color indexed="81"/>
            <rFont val="Tahoma"/>
            <family val="2"/>
          </rPr>
          <t>Flag indicating that the estimated value of the PIN is dramatically lower than last year's value.</t>
        </r>
      </text>
    </comment>
    <comment ref="BI6" authorId="0" shapeId="0" xr:uid="{C26E7A69-3354-428E-BBFF-70904DE96781}">
      <text>
        <r>
          <rPr>
            <sz val="9"/>
            <color indexed="81"/>
            <rFont val="Tahoma"/>
            <family val="2"/>
          </rPr>
          <t>Flag indicating that one or more of the characteristics that are most important to the model are missing for this PIN.</t>
        </r>
      </text>
    </comment>
    <comment ref="BJ6" authorId="0" shapeId="0" xr:uid="{ACF72B43-181F-4EDF-AB31-F37EC8467982}">
      <text>
        <r>
          <rPr>
            <sz val="9"/>
            <color indexed="81"/>
            <rFont val="Tahoma"/>
            <family val="2"/>
          </rPr>
          <t>Flag indicating that the PIN has at least one assessable permit in the past 3 years. Only counts permits prior to January 1st of the current assessment year.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 Cochrane (Assessor)</author>
  </authors>
  <commentList>
    <comment ref="R4" authorId="0" shapeId="0" xr:uid="{03B1BBD3-705D-427B-9A63-A114BEFB7A0C}">
      <text>
        <r>
          <rPr>
            <sz val="9"/>
            <color theme="1"/>
            <rFont val="Tahoma"/>
            <family val="2"/>
          </rPr>
          <t>The number of apartments in a card. Only present for class 211 and 212 parcels.</t>
        </r>
      </text>
    </comment>
    <comment ref="S4" authorId="0" shapeId="0" xr:uid="{AED861D1-6C64-4E76-9DD1-C8067007C736}">
      <text>
        <r>
          <rPr>
            <sz val="9"/>
            <color theme="1"/>
            <rFont val="Tahoma"/>
            <family val="2"/>
          </rPr>
          <t>The number of commercial units in a card. Only present for class 212 parcels.</t>
        </r>
      </text>
    </comment>
  </commentList>
</comments>
</file>

<file path=xl/sharedStrings.xml><?xml version="1.0" encoding="utf-8"?>
<sst xmlns="http://schemas.openxmlformats.org/spreadsheetml/2006/main" count="104" uniqueCount="87">
  <si>
    <t>Run ID (res):</t>
  </si>
  <si>
    <t>Characteristics</t>
  </si>
  <si>
    <t>Flags</t>
  </si>
  <si>
    <t>PIN</t>
  </si>
  <si>
    <t>Class</t>
  </si>
  <si>
    <t>Nbhd.</t>
  </si>
  <si>
    <t>Street Address</t>
  </si>
  <si>
    <t>Municipality</t>
  </si>
  <si>
    <t>Townhome Complex ID</t>
  </si>
  <si>
    <t>PIN Num. Cards</t>
  </si>
  <si>
    <t>Tieback Key PIN</t>
  </si>
  <si>
    <t>Tieback (Proration) Rate</t>
  </si>
  <si>
    <t>Land</t>
  </si>
  <si>
    <t>Building</t>
  </si>
  <si>
    <t>Total</t>
  </si>
  <si>
    <t>Lnd. Rate    S. F.</t>
  </si>
  <si>
    <t>Bld. Rate    S. F.</t>
  </si>
  <si>
    <t>Lnd. % of Total</t>
  </si>
  <si>
    <t>Before Rounding</t>
  </si>
  <si>
    <t>Lnd. Rate Original</t>
  </si>
  <si>
    <t>Lnd. Rate     Effective</t>
  </si>
  <si>
    <t>Bld. Rate     S. F.</t>
  </si>
  <si>
    <t>Lnd. % of Tot.</t>
  </si>
  <si>
    <t>YoY ∆ $</t>
  </si>
  <si>
    <t>YoY ∆ %</t>
  </si>
  <si>
    <t>Sale Date 1</t>
  </si>
  <si>
    <t>Sale Amount 1</t>
  </si>
  <si>
    <t>Non-Arm's-Length Sale Flag 1</t>
  </si>
  <si>
    <t>Sale Doc. 1</t>
  </si>
  <si>
    <t>Sale Date 2</t>
  </si>
  <si>
    <t>Sale Amount 2</t>
  </si>
  <si>
    <t>Non-Arm's-Length Sale Flag 2</t>
  </si>
  <si>
    <t>Sale Doc. 2</t>
  </si>
  <si>
    <t>Year Built</t>
  </si>
  <si>
    <t>Total        Bld. S. F.</t>
  </si>
  <si>
    <t>Stories</t>
  </si>
  <si>
    <t>Lnd. S. F.</t>
  </si>
  <si>
    <t># Res. Units</t>
  </si>
  <si>
    <t># Comm. Units</t>
  </si>
  <si>
    <t>Is Prorated</t>
  </si>
  <si>
    <t>Multi-Card</t>
  </si>
  <si>
    <t>Multi-Land</t>
  </si>
  <si>
    <t>Lnd. &gt;= 95% in Town</t>
  </si>
  <si>
    <t>Bld. &gt;= 95% in Town</t>
  </si>
  <si>
    <t>Land Value Capped</t>
  </si>
  <si>
    <t>Value Unchanged</t>
  </si>
  <si>
    <t>Post-Modeling Change</t>
  </si>
  <si>
    <t>YoY Change &gt;= 50%</t>
  </si>
  <si>
    <t>YoY Change &lt;= -5%</t>
  </si>
  <si>
    <t>Critical Char. Missing</t>
  </si>
  <si>
    <t>Contains only PINs with multiple cards</t>
  </si>
  <si>
    <t>Card</t>
  </si>
  <si>
    <t>Card % Total (By Sqft)</t>
  </si>
  <si>
    <t>Card Initial FMV</t>
  </si>
  <si>
    <t>Card Final FMV</t>
  </si>
  <si>
    <t># Beds</t>
  </si>
  <si>
    <t>Ext. Wall</t>
  </si>
  <si>
    <t>Heat</t>
  </si>
  <si>
    <t>Bld. S. F.</t>
  </si>
  <si>
    <t>PIN Information</t>
  </si>
  <si>
    <t>Change In Value</t>
  </si>
  <si>
    <t>Card Information</t>
  </si>
  <si>
    <t>Card Characteristics</t>
  </si>
  <si>
    <t>Sales Information</t>
  </si>
  <si>
    <t>Notes</t>
  </si>
  <si>
    <t>Valuations Notes</t>
  </si>
  <si>
    <t>Row Labels</t>
  </si>
  <si>
    <t>(blank)</t>
  </si>
  <si>
    <t>Grand Total</t>
  </si>
  <si>
    <t>Summary statistics broken out by neighborhood</t>
  </si>
  <si>
    <t>Count of Class</t>
  </si>
  <si>
    <t>Average of YoY ∆ %</t>
  </si>
  <si>
    <t>Sale Ratio</t>
  </si>
  <si>
    <t>Bsmt. Type</t>
  </si>
  <si>
    <t>Bsmt. Finish</t>
  </si>
  <si>
    <t>Central Air</t>
  </si>
  <si>
    <t>Recent Assessable Permit</t>
  </si>
  <si>
    <t>Proration Rates Don't Sum to 100%</t>
  </si>
  <si>
    <t>Proration Tieback Cycle</t>
  </si>
  <si>
    <t>HomeVal Report</t>
  </si>
  <si>
    <t>MV Difference</t>
  </si>
  <si>
    <t>Total MV</t>
  </si>
  <si>
    <t>Link</t>
  </si>
  <si>
    <t>Max of MV Difference</t>
  </si>
  <si>
    <t>Max of Total MV</t>
  </si>
  <si>
    <t>Average of Total MV</t>
  </si>
  <si>
    <t>Min of Total 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</si>
</sst>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43" formatCode="_(* #,##0.00_);_(* \(#,##0.00\);_(* &quot;-&quot;??_);_(@_)"/>
    <numFmt numFmtId="164" formatCode="&quot;$&quot;#,##0"/>
    <numFmt numFmtId="165" formatCode="0.0%"/>
  </numFmts>
  <fonts count="10" x14ac:knownFonts="1">
    <font>
      <sz val="12"/>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u/>
      <sz val="12"/>
      <color theme="10"/>
      <name val="Calibri"/>
      <family val="2"/>
      <scheme val="minor"/>
    </font>
    <font>
      <sz val="9"/>
      <color indexed="81"/>
      <name val="Tahoma"/>
      <family val="2"/>
    </font>
    <font>
      <b/>
      <sz val="12"/>
      <color theme="0"/>
      <name val="Calibri"/>
      <family val="2"/>
      <scheme val="minor"/>
    </font>
    <font>
      <b/>
      <sz val="9"/>
      <color indexed="81"/>
      <name val="Tahoma"/>
      <family val="2"/>
    </font>
    <font>
      <sz val="9"/>
      <color theme="1"/>
      <name val="Tahoma"/>
      <family val="2"/>
    </font>
    <font>
      <sz val="9"/>
      <color indexed="81"/>
      <name val="Tahoma"/>
      <charset val="1"/>
    </font>
  </fonts>
  <fills count="10">
    <fill>
      <patternFill patternType="none"/>
    </fill>
    <fill>
      <patternFill patternType="gray125"/>
    </fill>
    <fill>
      <patternFill patternType="solid">
        <fgColor theme="1" tint="4.9989318521683403E-2"/>
        <bgColor indexed="64"/>
      </patternFill>
    </fill>
    <fill>
      <patternFill patternType="solid">
        <fgColor rgb="FFC000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F9CCFC"/>
        <bgColor indexed="64"/>
      </patternFill>
    </fill>
    <fill>
      <patternFill patternType="solid">
        <fgColor rgb="FFFFD1D1"/>
        <bgColor indexed="64"/>
      </patternFill>
    </fill>
  </fills>
  <borders count="1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rgb="FF000000"/>
      </right>
      <top/>
      <bottom/>
      <diagonal/>
    </border>
    <border>
      <left style="thin">
        <color indexed="64"/>
      </left>
      <right/>
      <top style="thin">
        <color auto="1"/>
      </top>
      <bottom/>
      <diagonal/>
    </border>
    <border>
      <left/>
      <right style="thin">
        <color auto="1"/>
      </right>
      <top/>
      <bottom/>
      <diagonal/>
    </border>
  </borders>
  <cellStyleXfs count="5">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cellStyleXfs>
  <cellXfs count="58">
    <xf numFmtId="0" fontId="0" fillId="0" borderId="0" xfId="0"/>
    <xf numFmtId="0" fontId="1" fillId="0" borderId="0" xfId="0" applyFont="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2" fillId="0" borderId="0" xfId="0" applyFont="1"/>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42" fontId="0" fillId="0" borderId="0" xfId="2" applyNumberFormat="1" applyFont="1"/>
    <xf numFmtId="9" fontId="0" fillId="0" borderId="0" xfId="3" applyFont="1"/>
    <xf numFmtId="164" fontId="0" fillId="0" borderId="0" xfId="0" applyNumberFormat="1"/>
    <xf numFmtId="37" fontId="0" fillId="0" borderId="0" xfId="1" applyNumberFormat="1" applyFont="1"/>
    <xf numFmtId="0" fontId="0" fillId="0" borderId="6" xfId="0" applyBorder="1" applyAlignment="1">
      <alignment horizontal="center" vertical="center" wrapText="1"/>
    </xf>
    <xf numFmtId="44" fontId="0" fillId="0" borderId="0" xfId="3" applyNumberFormat="1" applyFont="1"/>
    <xf numFmtId="0" fontId="0" fillId="0" borderId="0" xfId="2" applyNumberFormat="1" applyFont="1"/>
    <xf numFmtId="37" fontId="4" fillId="0" borderId="0" xfId="4" applyNumberFormat="1"/>
    <xf numFmtId="0" fontId="0" fillId="0" borderId="8" xfId="0" applyBorder="1" applyAlignment="1">
      <alignment horizontal="center" vertical="center" wrapText="1"/>
    </xf>
    <xf numFmtId="0" fontId="0" fillId="0" borderId="0" xfId="0" applyAlignment="1">
      <alignment horizontal="center"/>
    </xf>
    <xf numFmtId="0" fontId="0" fillId="0" borderId="9" xfId="0" applyBorder="1" applyAlignment="1">
      <alignment horizontal="center" vertical="center" wrapText="1"/>
    </xf>
    <xf numFmtId="0" fontId="0" fillId="0" borderId="0" xfId="0" applyAlignment="1">
      <alignment horizontal="left"/>
    </xf>
    <xf numFmtId="0" fontId="0" fillId="0" borderId="10" xfId="0" applyBorder="1" applyAlignment="1">
      <alignment horizontal="center" vertical="center" wrapText="1"/>
    </xf>
    <xf numFmtId="0" fontId="1" fillId="9" borderId="3" xfId="0" applyFont="1" applyFill="1" applyBorder="1" applyAlignment="1">
      <alignment horizontal="center"/>
    </xf>
    <xf numFmtId="0" fontId="0" fillId="0" borderId="0" xfId="0" pivotButton="1"/>
    <xf numFmtId="165" fontId="0" fillId="0" borderId="0" xfId="0" applyNumberFormat="1"/>
    <xf numFmtId="1" fontId="0" fillId="0" borderId="0" xfId="0" applyNumberFormat="1"/>
    <xf numFmtId="0" fontId="0" fillId="0" borderId="11" xfId="0" applyBorder="1" applyAlignment="1">
      <alignment horizontal="center" vertical="center" wrapText="1"/>
    </xf>
    <xf numFmtId="0" fontId="2" fillId="0" borderId="0" xfId="0" applyFont="1" applyAlignment="1">
      <alignment horizontal="left"/>
    </xf>
    <xf numFmtId="0" fontId="6" fillId="3" borderId="2" xfId="0" applyFont="1" applyFill="1" applyBorder="1" applyAlignment="1">
      <alignment horizontal="center"/>
    </xf>
    <xf numFmtId="0" fontId="1" fillId="5" borderId="1" xfId="0" applyFont="1" applyFill="1" applyBorder="1" applyAlignment="1">
      <alignment horizontal="center"/>
    </xf>
    <xf numFmtId="164" fontId="2" fillId="0" borderId="0" xfId="2" applyNumberFormat="1" applyFont="1" applyAlignment="1">
      <alignment horizontal="right"/>
    </xf>
    <xf numFmtId="164" fontId="0" fillId="0" borderId="0" xfId="0" applyNumberFormat="1" applyAlignment="1">
      <alignment horizontal="right"/>
    </xf>
    <xf numFmtId="164" fontId="0" fillId="0" borderId="0" xfId="2" applyNumberFormat="1" applyFont="1" applyAlignment="1">
      <alignment horizontal="right"/>
    </xf>
    <xf numFmtId="0" fontId="0" fillId="0" borderId="0" xfId="0" applyAlignment="1">
      <alignment horizontal="left"/>
    </xf>
    <xf numFmtId="0" fontId="2" fillId="0" borderId="0" xfId="0" applyFont="1" applyAlignment="1">
      <alignment horizontal="left"/>
    </xf>
    <xf numFmtId="0" fontId="1" fillId="0" borderId="1"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6" fillId="3" borderId="1" xfId="0" applyFont="1" applyFill="1" applyBorder="1" applyAlignment="1">
      <alignment horizontal="center"/>
    </xf>
    <xf numFmtId="0" fontId="6" fillId="3" borderId="3" xfId="0" applyFont="1" applyFill="1" applyBorder="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6" fillId="2" borderId="2" xfId="0" applyFont="1" applyFill="1" applyBorder="1" applyAlignment="1">
      <alignment horizontal="center"/>
    </xf>
    <xf numFmtId="0" fontId="1" fillId="4" borderId="1" xfId="0" applyFont="1" applyFill="1" applyBorder="1" applyAlignment="1">
      <alignment horizontal="center"/>
    </xf>
    <xf numFmtId="0" fontId="1" fillId="4" borderId="3" xfId="0" applyFont="1" applyFill="1" applyBorder="1" applyAlignment="1">
      <alignment horizontal="center"/>
    </xf>
    <xf numFmtId="0" fontId="1" fillId="4" borderId="5" xfId="0" applyFont="1" applyFill="1" applyBorder="1" applyAlignment="1">
      <alignment horizontal="center"/>
    </xf>
    <xf numFmtId="0" fontId="1" fillId="4" borderId="2" xfId="0" applyFont="1" applyFill="1" applyBorder="1" applyAlignment="1">
      <alignment horizontal="center"/>
    </xf>
    <xf numFmtId="0" fontId="1" fillId="7" borderId="1" xfId="0" applyFont="1" applyFill="1" applyBorder="1" applyAlignment="1">
      <alignment horizontal="center"/>
    </xf>
    <xf numFmtId="0" fontId="1" fillId="7" borderId="3" xfId="0" applyFont="1" applyFill="1" applyBorder="1" applyAlignment="1">
      <alignment horizontal="center"/>
    </xf>
    <xf numFmtId="0" fontId="1" fillId="7" borderId="2" xfId="0" applyFont="1" applyFill="1" applyBorder="1" applyAlignment="1">
      <alignment horizontal="center"/>
    </xf>
    <xf numFmtId="0" fontId="1" fillId="8" borderId="1" xfId="0" applyFont="1" applyFill="1" applyBorder="1" applyAlignment="1">
      <alignment horizontal="center"/>
    </xf>
    <xf numFmtId="0" fontId="1" fillId="8" borderId="3" xfId="0" applyFont="1" applyFill="1" applyBorder="1" applyAlignment="1">
      <alignment horizontal="center"/>
    </xf>
    <xf numFmtId="0" fontId="1" fillId="6" borderId="1" xfId="0" applyFont="1" applyFill="1" applyBorder="1" applyAlignment="1">
      <alignment horizontal="center"/>
    </xf>
    <xf numFmtId="0" fontId="1" fillId="6" borderId="3" xfId="0" applyFont="1" applyFill="1" applyBorder="1" applyAlignment="1">
      <alignment horizontal="center"/>
    </xf>
    <xf numFmtId="0" fontId="1" fillId="6" borderId="2" xfId="0" applyFont="1" applyFill="1" applyBorder="1" applyAlignment="1">
      <alignment horizontal="center"/>
    </xf>
    <xf numFmtId="0" fontId="1" fillId="8" borderId="2" xfId="0" applyFont="1" applyFill="1" applyBorder="1" applyAlignment="1">
      <alignment horizontal="center"/>
    </xf>
    <xf numFmtId="0" fontId="0" fillId="0" borderId="0" xfId="0" applyNumberFormat="1"/>
  </cellXfs>
  <cellStyles count="5">
    <cellStyle name="Comma" xfId="1" builtinId="3"/>
    <cellStyle name="Currency" xfId="2" builtinId="4"/>
    <cellStyle name="Hyperlink" xfId="4" builtinId="8"/>
    <cellStyle name="Normal" xfId="0" builtinId="0"/>
    <cellStyle name="Percent" xfId="3" builtinId="5"/>
  </cellStyles>
  <dxfs count="114">
    <dxf>
      <numFmt numFmtId="168" formatCode="&quot;$&quot;#,##0.0"/>
    </dxf>
    <dxf>
      <numFmt numFmtId="164" formatCode="&quot;$&quot;#,##0"/>
    </dxf>
    <dxf>
      <numFmt numFmtId="168" formatCode="&quot;$&quot;#,##0.0"/>
    </dxf>
    <dxf>
      <numFmt numFmtId="164" formatCode="&quot;$&quot;#,##0"/>
    </dxf>
    <dxf>
      <numFmt numFmtId="166" formatCode="_([$$-409]* #,##0.00_);_([$$-409]* \(#,##0.00\);_([$$-409]* &quot;-&quot;??_);_(@_)"/>
    </dxf>
    <dxf>
      <numFmt numFmtId="166" formatCode="_([$$-409]* #,##0.00_);_([$$-409]* \(#,##0.00\);_([$$-409]* &quot;-&quot;??_);_(@_)"/>
    </dxf>
    <dxf>
      <alignment horizontal="right"/>
    </dxf>
    <dxf>
      <alignment horizontal="right"/>
    </dxf>
    <dxf>
      <numFmt numFmtId="168" formatCode="&quot;$&quot;#,##0.0"/>
    </dxf>
    <dxf>
      <numFmt numFmtId="168" formatCode="&quot;$&quot;#,##0.0"/>
    </dxf>
    <dxf>
      <numFmt numFmtId="164" formatCode="&quot;$&quot;#,##0"/>
    </dxf>
    <dxf>
      <numFmt numFmtId="164" formatCode="&quot;$&quot;#,##0"/>
    </dxf>
    <dxf>
      <numFmt numFmtId="164" formatCode="&quot;$&quot;#,##0"/>
    </dxf>
    <dxf>
      <numFmt numFmtId="164" formatCode="&quot;$&quot;#,##0"/>
    </dxf>
    <dxf>
      <numFmt numFmtId="168" formatCode="&quot;$&quot;#,##0.0"/>
    </dxf>
    <dxf>
      <numFmt numFmtId="164" formatCode="&quot;$&quot;#,##0"/>
    </dxf>
    <dxf>
      <numFmt numFmtId="168" formatCode="&quot;$&quot;#,##0.0"/>
    </dxf>
    <dxf>
      <numFmt numFmtId="164" formatCode="&quot;$&quot;#,##0"/>
    </dxf>
    <dxf>
      <numFmt numFmtId="166" formatCode="_([$$-409]* #,##0.00_);_([$$-409]* \(#,##0.00\);_([$$-409]* &quot;-&quot;??_);_(@_)"/>
    </dxf>
    <dxf>
      <numFmt numFmtId="166" formatCode="_([$$-409]* #,##0.00_);_([$$-409]* \(#,##0.00\);_([$$-409]* &quot;-&quot;??_);_(@_)"/>
    </dxf>
    <dxf>
      <alignment horizontal="right"/>
    </dxf>
    <dxf>
      <alignment horizontal="right"/>
    </dxf>
    <dxf>
      <numFmt numFmtId="168" formatCode="&quot;$&quot;#,##0.0"/>
    </dxf>
    <dxf>
      <numFmt numFmtId="168" formatCode="&quot;$&quot;#,##0.0"/>
    </dxf>
    <dxf>
      <numFmt numFmtId="168" formatCode="&quot;$&quot;#,##0.0"/>
    </dxf>
    <dxf>
      <numFmt numFmtId="168" formatCode="&quot;$&quot;#,##0.0"/>
    </dxf>
    <dxf>
      <numFmt numFmtId="164" formatCode="&quot;$&quot;#,##0"/>
    </dxf>
    <dxf>
      <numFmt numFmtId="164" formatCode="&quot;$&quot;#,##0"/>
    </dxf>
    <dxf>
      <numFmt numFmtId="168" formatCode="&quot;$&quot;#,##0.0"/>
    </dxf>
    <dxf>
      <numFmt numFmtId="164" formatCode="&quot;$&quot;#,##0"/>
    </dxf>
    <dxf>
      <numFmt numFmtId="168" formatCode="&quot;$&quot;#,##0.0"/>
    </dxf>
    <dxf>
      <numFmt numFmtId="164" formatCode="&quot;$&quot;#,##0"/>
    </dxf>
    <dxf>
      <numFmt numFmtId="166" formatCode="_([$$-409]* #,##0.00_);_([$$-409]* \(#,##0.00\);_([$$-409]* &quot;-&quot;??_);_(@_)"/>
    </dxf>
    <dxf>
      <numFmt numFmtId="166" formatCode="_([$$-409]* #,##0.00_);_([$$-409]* \(#,##0.00\);_([$$-409]* &quot;-&quot;??_);_(@_)"/>
    </dxf>
    <dxf>
      <alignment horizontal="right"/>
    </dxf>
    <dxf>
      <alignment horizontal="right"/>
    </dxf>
    <dxf>
      <numFmt numFmtId="168" formatCode="&quot;$&quot;#,##0.0"/>
    </dxf>
    <dxf>
      <numFmt numFmtId="168" formatCode="&quot;$&quot;#,##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6" formatCode="_([$$-409]* #,##0.00_);_([$$-409]* \(#,##0.00\);_([$$-409]* &quot;-&quot;??_);_(@_)"/>
    </dxf>
    <dxf>
      <numFmt numFmtId="166" formatCode="_([$$-409]* #,##0.00_);_([$$-409]* \(#,##0.00\);_([$$-409]* &quot;-&quot;??_);_(@_)"/>
    </dxf>
    <dxf>
      <alignment horizontal="right"/>
    </dxf>
    <dxf>
      <alignment horizontal="right"/>
    </dxf>
    <dxf>
      <numFmt numFmtId="167" formatCode="&quot;$&quot;#,##0.00"/>
    </dxf>
    <dxf>
      <numFmt numFmtId="167" formatCode="&quot;$&quot;#,##0.00"/>
    </dxf>
    <dxf>
      <numFmt numFmtId="168" formatCode="&quot;$&quot;#,##0.0"/>
    </dxf>
    <dxf>
      <numFmt numFmtId="168" formatCode="&quot;$&quot;#,##0.0"/>
    </dxf>
    <dxf>
      <numFmt numFmtId="168" formatCode="&quot;$&quot;#,##0.0"/>
    </dxf>
    <dxf>
      <numFmt numFmtId="168" formatCode="&quot;$&quot;#,##0.0"/>
    </dxf>
    <dxf>
      <numFmt numFmtId="167" formatCode="&quot;$&quot;#,##0.00"/>
    </dxf>
    <dxf>
      <numFmt numFmtId="167" formatCode="&quot;$&quot;#,##0.00"/>
    </dxf>
    <dxf>
      <numFmt numFmtId="166" formatCode="_([$$-409]* #,##0.00_);_([$$-409]* \(#,##0.00\);_([$$-409]* &quot;-&quot;??_);_(@_)"/>
    </dxf>
    <dxf>
      <numFmt numFmtId="166" formatCode="_([$$-409]* #,##0.00_);_([$$-409]* \(#,##0.00\);_([$$-409]* &quot;-&quot;??_);_(@_)"/>
    </dxf>
    <dxf>
      <alignment horizontal="right"/>
    </dxf>
    <dxf>
      <alignment horizontal="right"/>
    </dxf>
    <dxf>
      <numFmt numFmtId="167" formatCode="&quot;$&quot;#,##0.00"/>
    </dxf>
    <dxf>
      <numFmt numFmtId="167" formatCode="&quot;$&quot;#,##0.00"/>
    </dxf>
    <dxf>
      <numFmt numFmtId="167" formatCode="&quot;$&quot;#,##0.00"/>
    </dxf>
    <dxf>
      <numFmt numFmtId="167" formatCode="&quot;$&quot;#,##0.00"/>
    </dxf>
    <dxf>
      <numFmt numFmtId="168" formatCode="&quot;$&quot;#,##0.0"/>
    </dxf>
    <dxf>
      <numFmt numFmtId="168" formatCode="&quot;$&quot;#,##0.0"/>
    </dxf>
    <dxf>
      <numFmt numFmtId="167" formatCode="&quot;$&quot;#,##0.00"/>
    </dxf>
    <dxf>
      <numFmt numFmtId="167" formatCode="&quot;$&quot;#,##0.00"/>
    </dxf>
    <dxf>
      <numFmt numFmtId="166" formatCode="_([$$-409]* #,##0.00_);_([$$-409]* \(#,##0.00\);_([$$-409]* &quot;-&quot;??_);_(@_)"/>
    </dxf>
    <dxf>
      <numFmt numFmtId="166" formatCode="_([$$-409]* #,##0.00_);_([$$-409]* \(#,##0.00\);_([$$-409]* &quot;-&quot;??_);_(@_)"/>
    </dxf>
    <dxf>
      <alignment horizontal="right"/>
    </dxf>
    <dxf>
      <alignment horizontal="right"/>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4" formatCode="&quot;$&quot;#,##0"/>
    </dxf>
    <dxf>
      <numFmt numFmtId="164" formatCode="&quot;$&quot;#,##0"/>
    </dxf>
    <dxf>
      <numFmt numFmtId="166" formatCode="_([$$-409]* #,##0.00_);_([$$-409]* \(#,##0.00\);_([$$-409]* &quot;-&quot;??_);_(@_)"/>
    </dxf>
    <dxf>
      <numFmt numFmtId="166" formatCode="_([$$-409]* #,##0.00_);_([$$-409]* \(#,##0.00\);_([$$-409]* &quot;-&quot;??_);_(@_)"/>
    </dxf>
    <dxf>
      <alignment horizontal="right"/>
    </dxf>
    <dxf>
      <alignment horizontal="right"/>
    </dxf>
    <dxf>
      <numFmt numFmtId="164" formatCode="&quot;$&quot;#,##0"/>
    </dxf>
    <dxf>
      <numFmt numFmtId="164" formatCode="&quot;$&quot;#,##0"/>
    </dxf>
    <dxf>
      <numFmt numFmtId="167" formatCode="&quot;$&quot;#,##0.00"/>
    </dxf>
    <dxf>
      <numFmt numFmtId="167" formatCode="&quot;$&quot;#,##0.00"/>
    </dxf>
    <dxf>
      <numFmt numFmtId="167" formatCode="&quot;$&quot;#,##0.00"/>
    </dxf>
    <dxf>
      <numFmt numFmtId="167" formatCode="&quot;$&quot;#,##0.00"/>
    </dxf>
    <dxf>
      <numFmt numFmtId="166" formatCode="_([$$-409]* #,##0.00_);_([$$-409]* \(#,##0.00\);_([$$-409]* &quot;-&quot;??_);_(@_)"/>
    </dxf>
    <dxf>
      <numFmt numFmtId="166" formatCode="_([$$-409]* #,##0.00_);_([$$-409]* \(#,##0.00\);_([$$-409]* &quot;-&quot;??_);_(@_)"/>
    </dxf>
    <dxf>
      <alignment horizontal="right"/>
    </dxf>
    <dxf>
      <alignment horizontal="right"/>
    </dxf>
    <dxf>
      <numFmt numFmtId="164" formatCode="&quot;$&quot;#,##0"/>
    </dxf>
    <dxf>
      <numFmt numFmtId="164" formatCode="&quot;$&quot;#,##0"/>
    </dxf>
    <dxf>
      <numFmt numFmtId="167" formatCode="&quot;$&quot;#,##0.00"/>
    </dxf>
    <dxf>
      <numFmt numFmtId="167" formatCode="&quot;$&quot;#,##0.00"/>
    </dxf>
    <dxf>
      <numFmt numFmtId="166" formatCode="_([$$-409]* #,##0.00_);_([$$-409]* \(#,##0.00\);_([$$-409]* &quot;-&quot;??_);_(@_)"/>
    </dxf>
    <dxf>
      <numFmt numFmtId="166" formatCode="_([$$-409]* #,##0.00_);_([$$-409]* \(#,##0.00\);_([$$-409]* &quot;-&quot;??_);_(@_)"/>
    </dxf>
    <dxf>
      <alignment horizontal="right"/>
    </dxf>
    <dxf>
      <alignment horizontal="right"/>
    </dxf>
    <dxf>
      <numFmt numFmtId="164" formatCode="&quot;$&quot;#,##0"/>
    </dxf>
    <dxf>
      <numFmt numFmtId="164" formatCode="&quot;$&quot;#,##0"/>
    </dxf>
    <dxf>
      <numFmt numFmtId="166" formatCode="_([$$-409]* #,##0.00_);_([$$-409]* \(#,##0.00\);_([$$-409]* &quot;-&quot;??_);_(@_)"/>
    </dxf>
    <dxf>
      <numFmt numFmtId="166" formatCode="_([$$-409]* #,##0.00_);_([$$-409]* \(#,##0.00\);_([$$-409]* &quot;-&quot;??_);_(@_)"/>
    </dxf>
    <dxf>
      <alignment horizontal="right"/>
    </dxf>
    <dxf>
      <alignment horizontal="right"/>
    </dxf>
    <dxf>
      <numFmt numFmtId="164" formatCode="&quot;$&quot;#,##0"/>
    </dxf>
    <dxf>
      <numFmt numFmtId="164" formatCode="&quot;$&quot;#,##0"/>
    </dxf>
    <dxf>
      <alignment horizontal="right"/>
    </dxf>
    <dxf>
      <alignment horizontal="right"/>
    </dxf>
    <dxf>
      <numFmt numFmtId="166" formatCode="_([$$-409]* #,##0.00_);_([$$-409]* \(#,##0.00\);_([$$-409]* &quot;-&quot;??_);_(@_)"/>
    </dxf>
    <dxf>
      <numFmt numFmtId="166" formatCode="_([$$-409]* #,##0.00_);_([$$-409]* \(#,##0.00\);_([$$-409]* &quot;-&quot;??_);_(@_)"/>
    </dxf>
  </dxfs>
  <tableStyles count="0" defaultTableStyle="TableStyleMedium2" defaultPivotStyle="PivotStyleLight16"/>
  <colors>
    <mruColors>
      <color rgb="FFFFD1D1"/>
      <color rgb="FFF9CC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mon Major" refreshedDate="46225.673710763891" createdVersion="8" refreshedVersion="8" minRefreshableVersion="3" recordCount="1" xr:uid="{2A499168-87FA-4E81-AAAC-57B5294536D8}">
  <cacheSource type="worksheet">
    <worksheetSource name="pin_detail_Range"/>
  </cacheSource>
  <cacheFields count="64">
    <cacheField name="PIN" numFmtId="0">
      <sharedItems containsNonDate="0" containsString="0" containsBlank="1"/>
    </cacheField>
    <cacheField name="Class" numFmtId="0">
      <sharedItems containsNonDate="0" containsString="0" containsBlank="1" count="1">
        <m/>
      </sharedItems>
    </cacheField>
    <cacheField name="Nbhd." numFmtId="0">
      <sharedItems containsNonDate="0" containsString="0" containsBlank="1" count="1">
        <m/>
      </sharedItems>
    </cacheField>
    <cacheField name="Street Address" numFmtId="0">
      <sharedItems containsNonDate="0" containsString="0" containsBlank="1"/>
    </cacheField>
    <cacheField name="Municipality" numFmtId="0">
      <sharedItems containsNonDate="0" containsString="0" containsBlank="1"/>
    </cacheField>
    <cacheField name="Townhome Complex ID" numFmtId="0">
      <sharedItems containsNonDate="0" containsString="0" containsBlank="1"/>
    </cacheField>
    <cacheField name="PIN Num. Cards" numFmtId="0">
      <sharedItems containsNonDate="0" containsString="0" containsBlank="1"/>
    </cacheField>
    <cacheField name="Tieback Key PIN" numFmtId="0">
      <sharedItems containsNonDate="0" containsString="0" containsBlank="1"/>
    </cacheField>
    <cacheField name="Tieback (Proration) Rate" numFmtId="9">
      <sharedItems containsNonDate="0" containsString="0" containsBlank="1"/>
    </cacheField>
    <cacheField name="Land" numFmtId="42">
      <sharedItems containsNonDate="0" containsString="0" containsBlank="1"/>
    </cacheField>
    <cacheField name="Building" numFmtId="42">
      <sharedItems containsNonDate="0" containsString="0" containsBlank="1"/>
    </cacheField>
    <cacheField name="Total" numFmtId="42">
      <sharedItems containsNonDate="0" containsString="0" containsBlank="1"/>
    </cacheField>
    <cacheField name="Lnd. Rate    S. F." numFmtId="42">
      <sharedItems containsNonDate="0" containsString="0" containsBlank="1"/>
    </cacheField>
    <cacheField name="Bld. Rate    S. F." numFmtId="42">
      <sharedItems containsNonDate="0" containsString="0" containsBlank="1"/>
    </cacheField>
    <cacheField name="Lnd. % of Total" numFmtId="9">
      <sharedItems containsNonDate="0" containsString="0" containsBlank="1"/>
    </cacheField>
    <cacheField name="Before Rounding" numFmtId="44">
      <sharedItems containsNonDate="0" containsString="0" containsBlank="1"/>
    </cacheField>
    <cacheField name="Land2" numFmtId="42">
      <sharedItems containsNonDate="0" containsString="0" containsBlank="1"/>
    </cacheField>
    <cacheField name="Building2" numFmtId="42">
      <sharedItems containsNonDate="0" containsString="0" containsBlank="1"/>
    </cacheField>
    <cacheField name="Total2" numFmtId="42">
      <sharedItems containsNonDate="0" containsString="0" containsBlank="1"/>
    </cacheField>
    <cacheField name="Lnd. Rate Original" numFmtId="42">
      <sharedItems containsNonDate="0" containsString="0" containsBlank="1"/>
    </cacheField>
    <cacheField name="Lnd. Rate     Effective" numFmtId="42">
      <sharedItems containsNonDate="0" containsString="0" containsBlank="1"/>
    </cacheField>
    <cacheField name="Bld. Rate     S. F." numFmtId="42">
      <sharedItems containsNonDate="0" containsString="0" containsBlank="1"/>
    </cacheField>
    <cacheField name="Lnd. % of Tot." numFmtId="9">
      <sharedItems containsNonDate="0" containsString="0" containsBlank="1"/>
    </cacheField>
    <cacheField name="YoY ∆ $" numFmtId="164">
      <sharedItems containsNonDate="0" containsString="0" containsBlank="1"/>
    </cacheField>
    <cacheField name="YoY ∆ %" numFmtId="9">
      <sharedItems containsNonDate="0" containsString="0" containsBlank="1"/>
    </cacheField>
    <cacheField name="Sale Ratio" numFmtId="9">
      <sharedItems containsNonDate="0" containsString="0" containsBlank="1"/>
    </cacheField>
    <cacheField name="Valuations Notes" numFmtId="9">
      <sharedItems containsNonDate="0" containsString="0" containsBlank="1"/>
    </cacheField>
    <cacheField name="Sale Date 1" numFmtId="0">
      <sharedItems containsNonDate="0" containsString="0" containsBlank="1"/>
    </cacheField>
    <cacheField name="Sale Amount 1" numFmtId="42">
      <sharedItems containsNonDate="0" containsString="0" containsBlank="1"/>
    </cacheField>
    <cacheField name="Non-Arm's-Length Sale Flag 1" numFmtId="42">
      <sharedItems containsNonDate="0" containsString="0" containsBlank="1"/>
    </cacheField>
    <cacheField name="Sale Doc. 1" numFmtId="0">
      <sharedItems containsNonDate="0" containsString="0" containsBlank="1"/>
    </cacheField>
    <cacheField name="Sale Date 2" numFmtId="0">
      <sharedItems containsNonDate="0" containsString="0" containsBlank="1"/>
    </cacheField>
    <cacheField name="Sale Amount 2" numFmtId="42">
      <sharedItems containsNonDate="0" containsString="0" containsBlank="1"/>
    </cacheField>
    <cacheField name="Non-Arm's-Length Sale Flag 2" numFmtId="42">
      <sharedItems containsNonDate="0" containsString="0" containsBlank="1"/>
    </cacheField>
    <cacheField name="Sale Doc. 2" numFmtId="0">
      <sharedItems containsNonDate="0" containsString="0" containsBlank="1"/>
    </cacheField>
    <cacheField name="Year Built" numFmtId="0">
      <sharedItems containsNonDate="0" containsString="0" containsBlank="1"/>
    </cacheField>
    <cacheField name="# Beds" numFmtId="0">
      <sharedItems containsNonDate="0" containsString="0" containsBlank="1"/>
    </cacheField>
    <cacheField name="Ext. Wall" numFmtId="0">
      <sharedItems containsNonDate="0" containsString="0" containsBlank="1"/>
    </cacheField>
    <cacheField name="Bsmt. Type" numFmtId="0">
      <sharedItems containsNonDate="0" containsString="0" containsBlank="1"/>
    </cacheField>
    <cacheField name="Bsmt. Finish" numFmtId="0">
      <sharedItems containsNonDate="0" containsString="0" containsBlank="1"/>
    </cacheField>
    <cacheField name="Central Air" numFmtId="0">
      <sharedItems containsNonDate="0" containsString="0" containsBlank="1"/>
    </cacheField>
    <cacheField name="Heat" numFmtId="0">
      <sharedItems containsNonDate="0" containsString="0" containsBlank="1"/>
    </cacheField>
    <cacheField name="Total        Bld. S. F." numFmtId="0">
      <sharedItems containsNonDate="0" containsString="0" containsBlank="1"/>
    </cacheField>
    <cacheField name="Stories" numFmtId="0">
      <sharedItems containsNonDate="0" containsString="0" containsBlank="1"/>
    </cacheField>
    <cacheField name="Lnd. S. F." numFmtId="37">
      <sharedItems containsNonDate="0" containsString="0" containsBlank="1"/>
    </cacheField>
    <cacheField name="# Res. Units" numFmtId="37">
      <sharedItems containsNonDate="0" containsString="0" containsBlank="1"/>
    </cacheField>
    <cacheField name="# Comm. Units" numFmtId="37">
      <sharedItems containsNonDate="0" containsString="0" containsBlank="1"/>
    </cacheField>
    <cacheField name="Link" numFmtId="37">
      <sharedItems containsNonDate="0" containsString="0" containsBlank="1"/>
    </cacheField>
    <cacheField name="Is Prorated" numFmtId="0">
      <sharedItems containsNonDate="0" containsString="0" containsBlank="1"/>
    </cacheField>
    <cacheField name="Proration Rates Don't Sum to 100%" numFmtId="0">
      <sharedItems containsNonDate="0" containsString="0" containsBlank="1"/>
    </cacheField>
    <cacheField name="Proration Tieback Cycle" numFmtId="0">
      <sharedItems containsNonDate="0" containsString="0" containsBlank="1"/>
    </cacheField>
    <cacheField name="Multi-Card" numFmtId="0">
      <sharedItems containsNonDate="0" containsString="0" containsBlank="1"/>
    </cacheField>
    <cacheField name="Multi-Land" numFmtId="0">
      <sharedItems containsNonDate="0" containsString="0" containsBlank="1"/>
    </cacheField>
    <cacheField name="Lnd. &gt;= 95% in Town" numFmtId="0">
      <sharedItems containsNonDate="0" containsString="0" containsBlank="1"/>
    </cacheField>
    <cacheField name="Bld. &gt;= 95% in Town" numFmtId="0">
      <sharedItems containsNonDate="0" containsString="0" containsBlank="1"/>
    </cacheField>
    <cacheField name="Land Value Capped" numFmtId="0">
      <sharedItems containsNonDate="0" containsString="0" containsBlank="1"/>
    </cacheField>
    <cacheField name="Value Unchanged" numFmtId="0">
      <sharedItems containsNonDate="0" containsString="0" containsBlank="1"/>
    </cacheField>
    <cacheField name="Post-Modeling Change" numFmtId="0">
      <sharedItems containsNonDate="0" containsString="0" containsBlank="1"/>
    </cacheField>
    <cacheField name="YoY Change &gt;= 50%" numFmtId="0">
      <sharedItems containsNonDate="0" containsString="0" containsBlank="1"/>
    </cacheField>
    <cacheField name="YoY Change &lt;= -5%" numFmtId="0">
      <sharedItems containsNonDate="0" containsString="0" containsBlank="1"/>
    </cacheField>
    <cacheField name="Critical Char. Missing" numFmtId="0">
      <sharedItems containsNonDate="0" containsString="0" containsBlank="1"/>
    </cacheField>
    <cacheField name="Recent Assessable Permit" numFmtId="0">
      <sharedItems containsNonDate="0" containsString="0" containsBlank="1"/>
    </cacheField>
    <cacheField name="Total MV" numFmtId="0">
      <sharedItems containsNonDate="0" containsString="0" containsBlank="1"/>
    </cacheField>
    <cacheField name="MV Differenc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m/>
    <x v="0"/>
    <x v="0"/>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4C13E-180D-4071-9586-5999D681901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5" firstHeaderRow="0" firstDataRow="1" firstDataCol="1"/>
  <pivotFields count="64">
    <pivotField showAll="0"/>
    <pivotField axis="axisRow" dataField="1" showAll="0" sortType="ascending">
      <items count="2">
        <item x="0"/>
        <item t="default"/>
      </items>
    </pivotField>
    <pivotField axis="axisRow" showAll="0" sortType="ascending">
      <items count="2">
        <item sd="0"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2">
    <field x="2"/>
    <field x="1"/>
  </rowFields>
  <rowItems count="2">
    <i>
      <x/>
    </i>
    <i t="grand">
      <x/>
    </i>
  </rowItems>
  <colFields count="1">
    <field x="-2"/>
  </colFields>
  <colItems count="6">
    <i>
      <x/>
    </i>
    <i i="1">
      <x v="1"/>
    </i>
    <i i="2">
      <x v="2"/>
    </i>
    <i i="3">
      <x v="3"/>
    </i>
    <i i="4">
      <x v="4"/>
    </i>
    <i i="5">
      <x v="5"/>
    </i>
  </colItems>
  <dataFields count="6">
    <dataField name="Count of Class" fld="1" subtotal="count" baseField="2" baseItem="0" numFmtId="1"/>
    <dataField name="Min of Total MV" fld="62" subtotal="min" baseField="2" baseItem="0" numFmtId="164"/>
    <dataField name="Average of Total MV" fld="62" subtotal="average" baseField="2" baseItem="0" numFmtId="164"/>
    <dataField name="Max of Total MV" fld="62" subtotal="max" baseField="2" baseItem="0"/>
    <dataField name="Max of MV Difference" fld="63" subtotal="max" baseField="2" baseItem="0" numFmtId="164"/>
    <dataField name="Average of YoY ∆ %" fld="24" subtotal="average" baseField="2" baseItem="0" numFmtId="165"/>
  </dataFields>
  <formats count="10">
    <format dxfId="113">
      <pivotArea outline="0" collapsedLevelsAreSubtotals="1" fieldPosition="0">
        <references count="1">
          <reference field="4294967294" count="1" selected="0">
            <x v="4"/>
          </reference>
        </references>
      </pivotArea>
    </format>
    <format dxfId="112">
      <pivotArea dataOnly="0" labelOnly="1" outline="0" fieldPosition="0">
        <references count="1">
          <reference field="4294967294" count="1">
            <x v="4"/>
          </reference>
        </references>
      </pivotArea>
    </format>
    <format dxfId="111">
      <pivotArea outline="0" collapsedLevelsAreSubtotals="1" fieldPosition="0">
        <references count="1">
          <reference field="4294967294" count="1" selected="0">
            <x v="4"/>
          </reference>
        </references>
      </pivotArea>
    </format>
    <format dxfId="110">
      <pivotArea dataOnly="0" labelOnly="1" outline="0" fieldPosition="0">
        <references count="1">
          <reference field="4294967294" count="1">
            <x v="4"/>
          </reference>
        </references>
      </pivotArea>
    </format>
    <format dxfId="31">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17">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3">
      <pivotArea outline="0" collapsedLevelsAreSubtotals="1" fieldPosition="0">
        <references count="1">
          <reference field="4294967294" count="1" selected="0">
            <x v="4"/>
          </reference>
        </references>
      </pivotArea>
    </format>
    <format dxfId="1">
      <pivotArea dataOnly="0" labelOnly="1"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9"/>
  <sheetViews>
    <sheetView tabSelected="1" workbookViewId="0">
      <pane xSplit="1" ySplit="6" topLeftCell="B7" activePane="bottomRight" state="frozen"/>
      <selection pane="topRight" activeCell="B1" sqref="B1"/>
      <selection pane="bottomLeft" activeCell="A17" sqref="A17"/>
      <selection pane="bottomRight" activeCell="AO48" sqref="AO48"/>
    </sheetView>
  </sheetViews>
  <sheetFormatPr defaultColWidth="11" defaultRowHeight="15.75" x14ac:dyDescent="0.25"/>
  <cols>
    <col min="1" max="1" width="15.375" customWidth="1"/>
    <col min="2" max="2" width="14" customWidth="1"/>
    <col min="3" max="3" width="11.5" customWidth="1"/>
    <col min="4" max="4" width="38.875" customWidth="1"/>
    <col min="5" max="6" width="14.375" customWidth="1"/>
    <col min="7" max="7" width="8.875" customWidth="1"/>
    <col min="8" max="8" width="15.375" customWidth="1"/>
    <col min="9" max="9" width="13.875" style="11" customWidth="1"/>
    <col min="10" max="11" width="11.875" style="10" bestFit="1" customWidth="1"/>
    <col min="12" max="12" width="13" style="10" customWidth="1"/>
    <col min="13" max="13" width="10.875" style="10" customWidth="1"/>
    <col min="14" max="14" width="10.625" style="10" customWidth="1"/>
    <col min="15" max="15" width="9.125" style="11" customWidth="1"/>
    <col min="16" max="16" width="13.625" style="15" customWidth="1"/>
    <col min="17" max="18" width="11.625" style="10" customWidth="1"/>
    <col min="19" max="19" width="13.625" style="10" customWidth="1"/>
    <col min="20" max="20" width="11" style="10"/>
    <col min="21" max="21" width="10.875" style="10" customWidth="1"/>
    <col min="22" max="22" width="11.125" style="10" customWidth="1"/>
    <col min="23" max="23" width="11.625" style="11" customWidth="1"/>
    <col min="24" max="24" width="11" style="12"/>
    <col min="25" max="26" width="11" style="11"/>
    <col min="27" max="27" width="21.125" style="11" customWidth="1"/>
    <col min="28" max="28" width="13" customWidth="1"/>
    <col min="29" max="29" width="13" style="10" customWidth="1"/>
    <col min="30" max="30" width="18.625" style="10" customWidth="1"/>
    <col min="31" max="32" width="13" style="16" customWidth="1"/>
    <col min="33" max="33" width="13" style="10" customWidth="1"/>
    <col min="34" max="34" width="18.625" style="10" customWidth="1"/>
    <col min="35" max="35" width="13" style="16" customWidth="1"/>
    <col min="37" max="37" width="9.25" customWidth="1"/>
    <col min="38" max="38" width="7.375" customWidth="1"/>
    <col min="40" max="40" width="15.125" customWidth="1"/>
    <col min="41" max="41" width="15.625" customWidth="1"/>
    <col min="42" max="42" width="15.375" customWidth="1"/>
    <col min="44" max="44" width="8.125" customWidth="1"/>
    <col min="45" max="47" width="11" style="13"/>
    <col min="48" max="48" width="16" style="13" bestFit="1" customWidth="1"/>
    <col min="57" max="57" width="14" customWidth="1"/>
    <col min="58" max="58" width="12.375" customWidth="1"/>
    <col min="59" max="59" width="11.875" customWidth="1"/>
    <col min="60" max="60" width="10.875" customWidth="1"/>
    <col min="61" max="61" width="11.5" customWidth="1"/>
    <col min="62" max="62" width="10" bestFit="1" customWidth="1"/>
    <col min="63" max="63" width="7.75" hidden="1" customWidth="1"/>
    <col min="64" max="64" width="9.375" hidden="1" customWidth="1"/>
  </cols>
  <sheetData>
    <row r="1" spans="1:64" ht="21" x14ac:dyDescent="0.35">
      <c r="A1" s="5"/>
      <c r="B1" s="35"/>
      <c r="C1" s="35"/>
      <c r="D1" s="35"/>
      <c r="E1" s="35"/>
      <c r="F1" s="35"/>
      <c r="G1" s="35"/>
      <c r="H1" s="35"/>
      <c r="I1" s="35"/>
      <c r="J1" s="3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row>
    <row r="2" spans="1:64" x14ac:dyDescent="0.25">
      <c r="A2" s="1"/>
      <c r="B2" s="1"/>
      <c r="C2" s="1"/>
      <c r="D2" s="1"/>
      <c r="E2" s="1"/>
      <c r="F2" s="1"/>
      <c r="G2" s="1"/>
      <c r="H2" s="1"/>
      <c r="I2" s="1"/>
      <c r="J2"/>
      <c r="K2"/>
      <c r="L2"/>
      <c r="M2"/>
      <c r="N2"/>
      <c r="O2"/>
      <c r="P2"/>
      <c r="Q2"/>
      <c r="R2"/>
      <c r="S2"/>
      <c r="T2"/>
      <c r="U2"/>
      <c r="V2"/>
      <c r="W2"/>
      <c r="X2"/>
      <c r="Y2"/>
      <c r="Z2"/>
      <c r="AA2"/>
      <c r="AC2"/>
      <c r="AD2"/>
      <c r="AE2"/>
      <c r="AF2"/>
      <c r="AG2"/>
      <c r="AH2"/>
      <c r="AI2"/>
      <c r="AS2"/>
      <c r="AT2"/>
      <c r="AU2"/>
      <c r="AV2"/>
    </row>
    <row r="3" spans="1:64" ht="15.75" customHeight="1" x14ac:dyDescent="0.25">
      <c r="B3" s="1" t="s">
        <v>0</v>
      </c>
      <c r="C3" s="34"/>
      <c r="D3" s="34"/>
      <c r="E3" s="34"/>
      <c r="F3" s="1"/>
      <c r="G3" s="1"/>
      <c r="H3" s="1"/>
      <c r="I3" s="1"/>
      <c r="J3" s="1"/>
      <c r="K3" s="1"/>
      <c r="L3" s="1"/>
      <c r="M3"/>
      <c r="N3"/>
      <c r="O3"/>
      <c r="P3"/>
      <c r="Q3"/>
      <c r="R3"/>
      <c r="S3"/>
      <c r="T3"/>
      <c r="U3"/>
      <c r="V3"/>
      <c r="W3"/>
      <c r="X3"/>
      <c r="Y3"/>
      <c r="Z3"/>
      <c r="AA3"/>
      <c r="AC3"/>
      <c r="AD3"/>
      <c r="AE3"/>
      <c r="AF3"/>
      <c r="AG3"/>
      <c r="AH3"/>
      <c r="AI3"/>
      <c r="AS3"/>
      <c r="AT3"/>
      <c r="AU3"/>
      <c r="AV3"/>
    </row>
    <row r="4" spans="1:64" x14ac:dyDescent="0.25">
      <c r="A4" s="1"/>
      <c r="I4"/>
      <c r="J4"/>
      <c r="K4"/>
      <c r="L4"/>
      <c r="M4"/>
      <c r="N4"/>
      <c r="O4"/>
      <c r="P4"/>
      <c r="Q4"/>
      <c r="R4"/>
      <c r="S4"/>
      <c r="T4"/>
      <c r="U4"/>
      <c r="V4"/>
      <c r="W4"/>
      <c r="X4"/>
      <c r="Y4"/>
      <c r="Z4"/>
      <c r="AA4"/>
      <c r="AC4"/>
      <c r="AD4"/>
      <c r="AE4"/>
      <c r="AF4"/>
      <c r="AG4"/>
      <c r="AH4"/>
      <c r="AI4"/>
      <c r="AJ4" s="19"/>
      <c r="AK4" s="19"/>
      <c r="AL4" s="19"/>
      <c r="AM4" s="19"/>
      <c r="AN4" s="19"/>
      <c r="AO4" s="19"/>
      <c r="AP4" s="19"/>
      <c r="AQ4" s="19"/>
      <c r="AR4" s="19"/>
      <c r="AS4" s="19"/>
      <c r="AT4" s="19"/>
      <c r="AU4" s="19"/>
      <c r="AV4"/>
    </row>
    <row r="5" spans="1:64" x14ac:dyDescent="0.25">
      <c r="B5" s="48" t="s">
        <v>59</v>
      </c>
      <c r="C5" s="49"/>
      <c r="D5" s="49"/>
      <c r="E5" s="49"/>
      <c r="F5" s="49"/>
      <c r="G5" s="49"/>
      <c r="H5" s="49"/>
      <c r="I5" s="50"/>
      <c r="J5" s="36"/>
      <c r="K5" s="37"/>
      <c r="L5" s="37"/>
      <c r="M5" s="37"/>
      <c r="N5" s="37"/>
      <c r="O5" s="38"/>
      <c r="P5" s="41"/>
      <c r="Q5" s="42"/>
      <c r="R5" s="42"/>
      <c r="S5" s="42"/>
      <c r="T5" s="42"/>
      <c r="U5" s="42"/>
      <c r="V5" s="42"/>
      <c r="W5" s="43"/>
      <c r="X5" s="53" t="s">
        <v>60</v>
      </c>
      <c r="Y5" s="54"/>
      <c r="Z5" s="55"/>
      <c r="AA5" s="23" t="s">
        <v>64</v>
      </c>
      <c r="AB5" s="44" t="s">
        <v>63</v>
      </c>
      <c r="AC5" s="45"/>
      <c r="AD5" s="45"/>
      <c r="AE5" s="46"/>
      <c r="AF5" s="45"/>
      <c r="AG5" s="45"/>
      <c r="AH5" s="46"/>
      <c r="AI5" s="47"/>
      <c r="AJ5" s="51" t="s">
        <v>1</v>
      </c>
      <c r="AK5" s="52"/>
      <c r="AL5" s="52"/>
      <c r="AM5" s="52"/>
      <c r="AN5" s="52"/>
      <c r="AO5" s="52"/>
      <c r="AP5" s="52"/>
      <c r="AQ5" s="52"/>
      <c r="AR5" s="52"/>
      <c r="AS5" s="52"/>
      <c r="AT5" s="52"/>
      <c r="AU5" s="52"/>
      <c r="AV5" s="30" t="s">
        <v>79</v>
      </c>
      <c r="AW5" s="39" t="s">
        <v>2</v>
      </c>
      <c r="AX5" s="40"/>
      <c r="AY5" s="40"/>
      <c r="AZ5" s="40"/>
      <c r="BA5" s="40"/>
      <c r="BB5" s="40"/>
      <c r="BC5" s="40"/>
      <c r="BD5" s="40"/>
      <c r="BE5" s="40"/>
      <c r="BF5" s="40"/>
      <c r="BG5" s="40"/>
      <c r="BH5" s="40"/>
      <c r="BI5" s="40"/>
      <c r="BJ5" s="29"/>
    </row>
    <row r="6" spans="1:64" ht="63" x14ac:dyDescent="0.25">
      <c r="A6" s="2" t="s">
        <v>3</v>
      </c>
      <c r="B6" s="8" t="s">
        <v>4</v>
      </c>
      <c r="C6" s="3" t="s">
        <v>5</v>
      </c>
      <c r="D6" s="8" t="s">
        <v>6</v>
      </c>
      <c r="E6" s="8" t="s">
        <v>7</v>
      </c>
      <c r="F6" s="8" t="s">
        <v>8</v>
      </c>
      <c r="G6" s="8" t="s">
        <v>9</v>
      </c>
      <c r="H6" s="8" t="s">
        <v>10</v>
      </c>
      <c r="I6" s="14" t="s">
        <v>11</v>
      </c>
      <c r="J6" s="6" t="s">
        <v>12</v>
      </c>
      <c r="K6" s="6" t="s">
        <v>13</v>
      </c>
      <c r="L6" s="6" t="s">
        <v>14</v>
      </c>
      <c r="M6" s="6" t="s">
        <v>15</v>
      </c>
      <c r="N6" s="6" t="s">
        <v>16</v>
      </c>
      <c r="O6" s="7" t="s">
        <v>17</v>
      </c>
      <c r="P6" s="6" t="s">
        <v>18</v>
      </c>
      <c r="Q6" s="9" t="s">
        <v>12</v>
      </c>
      <c r="R6" s="6" t="s">
        <v>13</v>
      </c>
      <c r="S6" s="6" t="s">
        <v>14</v>
      </c>
      <c r="T6" s="6" t="s">
        <v>19</v>
      </c>
      <c r="U6" s="6" t="s">
        <v>20</v>
      </c>
      <c r="V6" s="6" t="s">
        <v>21</v>
      </c>
      <c r="W6" s="7" t="s">
        <v>22</v>
      </c>
      <c r="X6" s="2" t="s">
        <v>23</v>
      </c>
      <c r="Y6" s="3" t="s">
        <v>24</v>
      </c>
      <c r="Z6" s="27" t="s">
        <v>72</v>
      </c>
      <c r="AA6" s="3" t="s">
        <v>65</v>
      </c>
      <c r="AB6" s="2" t="s">
        <v>25</v>
      </c>
      <c r="AC6" s="8" t="s">
        <v>26</v>
      </c>
      <c r="AD6" s="3" t="s">
        <v>27</v>
      </c>
      <c r="AE6" s="14" t="s">
        <v>28</v>
      </c>
      <c r="AF6" s="3" t="s">
        <v>29</v>
      </c>
      <c r="AG6" s="8" t="s">
        <v>30</v>
      </c>
      <c r="AH6" s="8" t="s">
        <v>31</v>
      </c>
      <c r="AI6" s="3" t="s">
        <v>32</v>
      </c>
      <c r="AJ6" s="18" t="s">
        <v>33</v>
      </c>
      <c r="AK6" s="6" t="s">
        <v>55</v>
      </c>
      <c r="AL6" s="6" t="s">
        <v>56</v>
      </c>
      <c r="AM6" s="6" t="s">
        <v>73</v>
      </c>
      <c r="AN6" s="6" t="s">
        <v>74</v>
      </c>
      <c r="AO6" s="6" t="s">
        <v>75</v>
      </c>
      <c r="AP6" s="6" t="s">
        <v>57</v>
      </c>
      <c r="AQ6" s="6" t="s">
        <v>34</v>
      </c>
      <c r="AR6" s="6" t="s">
        <v>35</v>
      </c>
      <c r="AS6" s="6" t="s">
        <v>36</v>
      </c>
      <c r="AT6" s="9" t="s">
        <v>37</v>
      </c>
      <c r="AU6" s="9" t="s">
        <v>38</v>
      </c>
      <c r="AV6" s="22" t="s">
        <v>82</v>
      </c>
      <c r="AW6" s="9" t="s">
        <v>39</v>
      </c>
      <c r="AX6" s="9" t="s">
        <v>77</v>
      </c>
      <c r="AY6" s="9" t="s">
        <v>78</v>
      </c>
      <c r="AZ6" s="9" t="s">
        <v>40</v>
      </c>
      <c r="BA6" s="9" t="s">
        <v>41</v>
      </c>
      <c r="BB6" s="9" t="s">
        <v>42</v>
      </c>
      <c r="BC6" s="9" t="s">
        <v>43</v>
      </c>
      <c r="BD6" s="9" t="s">
        <v>44</v>
      </c>
      <c r="BE6" s="9" t="s">
        <v>45</v>
      </c>
      <c r="BF6" s="9" t="s">
        <v>46</v>
      </c>
      <c r="BG6" s="9" t="s">
        <v>47</v>
      </c>
      <c r="BH6" s="9" t="s">
        <v>48</v>
      </c>
      <c r="BI6" s="8" t="s">
        <v>49</v>
      </c>
      <c r="BJ6" s="27" t="s">
        <v>76</v>
      </c>
      <c r="BK6" s="3" t="s">
        <v>81</v>
      </c>
      <c r="BL6" s="4" t="s">
        <v>80</v>
      </c>
    </row>
    <row r="8" spans="1:64" x14ac:dyDescent="0.25">
      <c r="AV8" s="17"/>
    </row>
    <row r="9" spans="1:64" x14ac:dyDescent="0.25">
      <c r="AV9" s="17"/>
    </row>
  </sheetData>
  <mergeCells count="9">
    <mergeCell ref="C3:E3"/>
    <mergeCell ref="B1:J1"/>
    <mergeCell ref="J5:O5"/>
    <mergeCell ref="AW5:BI5"/>
    <mergeCell ref="P5:W5"/>
    <mergeCell ref="AB5:AI5"/>
    <mergeCell ref="B5:I5"/>
    <mergeCell ref="AJ5:AU5"/>
    <mergeCell ref="X5:Z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
  <sheetViews>
    <sheetView workbookViewId="0">
      <pane xSplit="1" ySplit="4" topLeftCell="B5" activePane="bottomRight" state="frozen"/>
      <selection pane="topRight" activeCell="B1" sqref="B1"/>
      <selection pane="bottomLeft" activeCell="A17" sqref="A17"/>
      <selection pane="bottomRight"/>
    </sheetView>
  </sheetViews>
  <sheetFormatPr defaultColWidth="11" defaultRowHeight="15.75" x14ac:dyDescent="0.25"/>
  <cols>
    <col min="1" max="1" width="15.375" customWidth="1"/>
    <col min="2" max="2" width="7.5" customWidth="1"/>
    <col min="3" max="3" width="9.875" customWidth="1"/>
    <col min="4" max="4" width="10.5" customWidth="1"/>
    <col min="5" max="5" width="11.875" style="15" customWidth="1"/>
    <col min="6" max="7" width="14.625" style="10" customWidth="1"/>
    <col min="9" max="9" width="9.25" customWidth="1"/>
    <col min="10" max="10" width="15.5" customWidth="1"/>
    <col min="11" max="11" width="13.75" customWidth="1"/>
    <col min="12" max="12" width="15.625" customWidth="1"/>
    <col min="13" max="13" width="14.125" customWidth="1"/>
    <col min="14" max="14" width="15.75" customWidth="1"/>
    <col min="16" max="16" width="11" customWidth="1"/>
    <col min="17" max="17" width="11" style="13"/>
  </cols>
  <sheetData>
    <row r="1" spans="1:26" ht="21" x14ac:dyDescent="0.35">
      <c r="B1" s="35" t="s">
        <v>50</v>
      </c>
      <c r="C1" s="35"/>
      <c r="D1" s="35"/>
      <c r="E1" s="35"/>
      <c r="F1" s="35"/>
      <c r="G1" s="35"/>
      <c r="H1" s="35"/>
      <c r="I1" s="35"/>
      <c r="J1" s="35"/>
      <c r="K1" s="28"/>
      <c r="L1" s="28"/>
      <c r="M1" s="28"/>
      <c r="N1" s="5"/>
      <c r="O1" s="5"/>
      <c r="P1" s="5"/>
      <c r="Q1" s="5"/>
      <c r="R1" s="5"/>
      <c r="S1" s="5"/>
      <c r="T1" s="5"/>
      <c r="U1" s="5"/>
      <c r="V1" s="5"/>
      <c r="W1" s="5"/>
      <c r="X1" s="5"/>
      <c r="Y1" s="5"/>
      <c r="Z1" s="5"/>
    </row>
    <row r="2" spans="1:26" x14ac:dyDescent="0.25">
      <c r="A2" s="1"/>
      <c r="B2" s="1"/>
      <c r="C2" s="1"/>
      <c r="D2" s="1"/>
      <c r="E2"/>
      <c r="F2"/>
      <c r="G2"/>
      <c r="Q2"/>
    </row>
    <row r="3" spans="1:26" x14ac:dyDescent="0.25">
      <c r="B3" s="48" t="s">
        <v>61</v>
      </c>
      <c r="C3" s="49"/>
      <c r="D3" s="50"/>
      <c r="E3" s="41"/>
      <c r="F3" s="42"/>
      <c r="G3" s="43"/>
      <c r="H3" s="51" t="s">
        <v>62</v>
      </c>
      <c r="I3" s="52"/>
      <c r="J3" s="52"/>
      <c r="K3" s="52"/>
      <c r="L3" s="52"/>
      <c r="M3" s="52"/>
      <c r="N3" s="52"/>
      <c r="O3" s="52"/>
      <c r="P3" s="52"/>
      <c r="Q3" s="52"/>
      <c r="R3" s="52"/>
      <c r="S3" s="56"/>
    </row>
    <row r="4" spans="1:26" ht="31.5" x14ac:dyDescent="0.25">
      <c r="A4" s="8" t="s">
        <v>3</v>
      </c>
      <c r="B4" s="8" t="s">
        <v>51</v>
      </c>
      <c r="C4" s="8" t="s">
        <v>4</v>
      </c>
      <c r="D4" s="3" t="s">
        <v>5</v>
      </c>
      <c r="E4" s="6" t="s">
        <v>52</v>
      </c>
      <c r="F4" s="9" t="s">
        <v>53</v>
      </c>
      <c r="G4" s="9" t="s">
        <v>54</v>
      </c>
      <c r="H4" s="18" t="s">
        <v>33</v>
      </c>
      <c r="I4" s="6" t="s">
        <v>55</v>
      </c>
      <c r="J4" s="6" t="s">
        <v>56</v>
      </c>
      <c r="K4" s="6" t="s">
        <v>73</v>
      </c>
      <c r="L4" s="6" t="s">
        <v>74</v>
      </c>
      <c r="M4" s="6" t="s">
        <v>75</v>
      </c>
      <c r="N4" s="6" t="s">
        <v>57</v>
      </c>
      <c r="O4" s="6" t="s">
        <v>58</v>
      </c>
      <c r="P4" s="6" t="s">
        <v>35</v>
      </c>
      <c r="Q4" s="9" t="s">
        <v>36</v>
      </c>
      <c r="R4" s="9" t="s">
        <v>37</v>
      </c>
      <c r="S4" s="20" t="s">
        <v>38</v>
      </c>
    </row>
  </sheetData>
  <mergeCells count="4">
    <mergeCell ref="E3:G3"/>
    <mergeCell ref="B1:J1"/>
    <mergeCell ref="B3:D3"/>
    <mergeCell ref="H3:S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A1D3-FC14-4EA4-B569-35CAE3B3E4FA}">
  <dimension ref="A1:G5"/>
  <sheetViews>
    <sheetView workbookViewId="0">
      <selection activeCell="F6" sqref="F6"/>
    </sheetView>
  </sheetViews>
  <sheetFormatPr defaultRowHeight="15.75" x14ac:dyDescent="0.25"/>
  <cols>
    <col min="1" max="1" width="12.375" bestFit="1" customWidth="1"/>
    <col min="2" max="2" width="12.75" bestFit="1" customWidth="1"/>
    <col min="3" max="3" width="14.875" style="33" bestFit="1" customWidth="1"/>
    <col min="4" max="4" width="18.625" style="33" bestFit="1" customWidth="1"/>
    <col min="5" max="5" width="15.125" style="33" bestFit="1" customWidth="1"/>
    <col min="6" max="6" width="19.625" style="33" bestFit="1" customWidth="1"/>
    <col min="7" max="7" width="17.625" bestFit="1" customWidth="1"/>
    <col min="8" max="8" width="16.625" bestFit="1" customWidth="1"/>
  </cols>
  <sheetData>
    <row r="1" spans="1:7" ht="21" x14ac:dyDescent="0.35">
      <c r="B1" s="5" t="s">
        <v>69</v>
      </c>
      <c r="C1" s="31"/>
      <c r="D1" s="31"/>
      <c r="E1" s="31"/>
      <c r="F1" s="31"/>
    </row>
    <row r="3" spans="1:7" x14ac:dyDescent="0.25">
      <c r="A3" s="24" t="s">
        <v>66</v>
      </c>
      <c r="B3" t="s">
        <v>70</v>
      </c>
      <c r="C3" s="12" t="s">
        <v>86</v>
      </c>
      <c r="D3" s="12" t="s">
        <v>85</v>
      </c>
      <c r="E3" t="s">
        <v>84</v>
      </c>
      <c r="F3" s="32" t="s">
        <v>83</v>
      </c>
      <c r="G3" t="s">
        <v>71</v>
      </c>
    </row>
    <row r="4" spans="1:7" x14ac:dyDescent="0.25">
      <c r="A4" s="21" t="s">
        <v>67</v>
      </c>
      <c r="B4" s="26"/>
      <c r="C4" s="12"/>
      <c r="D4" s="12"/>
      <c r="E4" s="57"/>
      <c r="F4" s="32"/>
      <c r="G4" s="25"/>
    </row>
    <row r="5" spans="1:7" x14ac:dyDescent="0.25">
      <c r="A5" s="21" t="s">
        <v>68</v>
      </c>
      <c r="B5" s="26"/>
      <c r="C5" s="12"/>
      <c r="D5" s="12"/>
      <c r="E5" s="57"/>
      <c r="F5" s="32"/>
      <c r="G5"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PIN Detail</vt:lpstr>
      <vt:lpstr>Card Detail</vt:lpstr>
      <vt:lpstr>Neighborhood Breakout</vt:lpstr>
      <vt:lpstr>pin_detail_range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Dovel, Craig</dc:creator>
  <cp:keywords/>
  <dc:description/>
  <cp:lastModifiedBy>Damon Major (Assessor)</cp:lastModifiedBy>
  <cp:revision/>
  <dcterms:created xsi:type="dcterms:W3CDTF">2020-12-11T20:46:47Z</dcterms:created>
  <dcterms:modified xsi:type="dcterms:W3CDTF">2026-07-22T21:10:34Z</dcterms:modified>
  <cp:category/>
  <cp:contentStatus/>
</cp:coreProperties>
</file>